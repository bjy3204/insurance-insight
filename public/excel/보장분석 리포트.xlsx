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2d6ca88740e50/바탕 화면/"/>
    </mc:Choice>
  </mc:AlternateContent>
  <xr:revisionPtr revIDLastSave="20" documentId="8_{1F016C18-25F0-4F7A-B9EF-0EA6E685DF59}" xr6:coauthVersionLast="47" xr6:coauthVersionMax="47" xr10:uidLastSave="{7E7383EB-CBC7-4612-B13C-602D8F27A36F}"/>
  <bookViews>
    <workbookView xWindow="43080" yWindow="6075" windowWidth="29040" windowHeight="15720" xr2:uid="{68943E71-5399-4EF7-883C-4E984608DF17}"/>
  </bookViews>
  <sheets>
    <sheet name="보험나무" sheetId="12" r:id="rId1"/>
    <sheet name="TIP" sheetId="13" r:id="rId2"/>
    <sheet name="고객상담일지" sheetId="5" r:id="rId3"/>
    <sheet name="표지" sheetId="1" r:id="rId4"/>
    <sheet name="보장분석" sheetId="2" r:id="rId5"/>
    <sheet name="리모델링 후(보장)" sheetId="19" r:id="rId6"/>
    <sheet name="담보별 가입금액" sheetId="14" r:id="rId7"/>
    <sheet name="리모델링 후(담보)" sheetId="20" r:id="rId8"/>
    <sheet name="리모델링 전 후 비교제안서" sheetId="18" r:id="rId9"/>
    <sheet name="리모델링 요약 보고서" sheetId="7" r:id="rId10"/>
    <sheet name="회사별 비교제안서(건강)" sheetId="4" r:id="rId11"/>
    <sheet name="회사별 비교제안서(운전자)" sheetId="8" r:id="rId12"/>
    <sheet name="가족 보험 현황" sheetId="6" r:id="rId13"/>
    <sheet name="만족도 조사" sheetId="11" r:id="rId14"/>
    <sheet name="표지 그래프" sheetId="3" r:id="rId15"/>
  </sheets>
  <definedNames>
    <definedName name="_xlnm.Print_Area" localSheetId="12">'가족 보험 현황'!$A$1:$J$44</definedName>
    <definedName name="_xlnm.Print_Area" localSheetId="2">고객상담일지!$A$1:$F$34</definedName>
    <definedName name="_xlnm.Print_Area" localSheetId="6">'담보별 가입금액'!$A$1:$M$42</definedName>
    <definedName name="_xlnm.Print_Area" localSheetId="9">'리모델링 요약 보고서'!$A$1:$O$26</definedName>
    <definedName name="_xlnm.Print_Area" localSheetId="8">'리모델링 전 후 비교제안서'!$A$1:$P$44</definedName>
    <definedName name="_xlnm.Print_Area" localSheetId="7">'리모델링 후(담보)'!$A$1:$M$42</definedName>
    <definedName name="_xlnm.Print_Area" localSheetId="5">'리모델링 후(보장)'!$A$1:$J$63</definedName>
    <definedName name="_xlnm.Print_Area" localSheetId="13">'만족도 조사'!$A$1:$H$33</definedName>
    <definedName name="_xlnm.Print_Area" localSheetId="4">보장분석!$A$1:$J$63</definedName>
    <definedName name="_xlnm.Print_Area" localSheetId="0">보험나무!$A$1:$F$8</definedName>
    <definedName name="_xlnm.Print_Area" localSheetId="3">표지!$A$1:$K$40</definedName>
    <definedName name="_xlnm.Print_Area" localSheetId="10">'회사별 비교제안서(건강)'!$A$1:$P$44</definedName>
    <definedName name="_xlnm.Print_Area" localSheetId="11">'회사별 비교제안서(운전자)'!$A$1:$P$44</definedName>
    <definedName name="_xlnm.Print_Titles" localSheetId="5">'리모델링 후(보장)'!$A:$D</definedName>
    <definedName name="_xlnm.Print_Titles" localSheetId="4">보장분석!$A:$D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8" l="1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M6" i="7"/>
  <c r="N13" i="7" a="1"/>
  <c r="N13" i="7" s="1"/>
  <c r="J13" i="7" a="1"/>
  <c r="J13" i="7" s="1"/>
  <c r="I13" i="7" a="1"/>
  <c r="I13" i="7" s="1"/>
  <c r="N12" i="7" a="1"/>
  <c r="N12" i="7" s="1"/>
  <c r="J12" i="7" a="1"/>
  <c r="J12" i="7" s="1"/>
  <c r="I12" i="7" a="1"/>
  <c r="I12" i="7" s="1"/>
  <c r="N11" i="7" a="1"/>
  <c r="N11" i="7" s="1"/>
  <c r="J11" i="7" a="1"/>
  <c r="J11" i="7" s="1"/>
  <c r="I11" i="7" a="1"/>
  <c r="I11" i="7" s="1"/>
  <c r="N10" i="7"/>
  <c r="N10" i="7" a="1"/>
  <c r="J10" i="7" a="1"/>
  <c r="J10" i="7" s="1"/>
  <c r="I10" i="7" a="1"/>
  <c r="I10" i="7" s="1"/>
  <c r="N9" i="7" a="1"/>
  <c r="N9" i="7" s="1"/>
  <c r="J9" i="7" a="1"/>
  <c r="J9" i="7" s="1"/>
  <c r="I9" i="7" a="1"/>
  <c r="I9" i="7" s="1"/>
  <c r="J42" i="18"/>
  <c r="J38" i="18"/>
  <c r="J39" i="18"/>
  <c r="J40" i="18"/>
  <c r="J37" i="18"/>
  <c r="J34" i="18"/>
  <c r="J35" i="18"/>
  <c r="J36" i="18"/>
  <c r="J33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15" i="18"/>
  <c r="J11" i="18"/>
  <c r="J12" i="18"/>
  <c r="J13" i="18"/>
  <c r="J14" i="18"/>
  <c r="J10" i="18"/>
  <c r="N38" i="18"/>
  <c r="N39" i="18"/>
  <c r="N40" i="18"/>
  <c r="N37" i="18"/>
  <c r="N34" i="18"/>
  <c r="N35" i="18"/>
  <c r="N36" i="18"/>
  <c r="N33" i="18"/>
  <c r="N10" i="18"/>
  <c r="D40" i="20"/>
  <c r="B37" i="20"/>
  <c r="F36" i="20"/>
  <c r="B36" i="20"/>
  <c r="F35" i="20"/>
  <c r="B35" i="20"/>
  <c r="F34" i="20"/>
  <c r="B34" i="20"/>
  <c r="J33" i="20"/>
  <c r="F33" i="20"/>
  <c r="B33" i="20"/>
  <c r="F29" i="20"/>
  <c r="F28" i="20"/>
  <c r="D28" i="20"/>
  <c r="B28" i="20"/>
  <c r="J27" i="20"/>
  <c r="F27" i="20"/>
  <c r="B27" i="20"/>
  <c r="J26" i="20"/>
  <c r="F26" i="20"/>
  <c r="D26" i="20"/>
  <c r="B26" i="20"/>
  <c r="J25" i="20"/>
  <c r="F25" i="20"/>
  <c r="D25" i="20"/>
  <c r="B25" i="20"/>
  <c r="J24" i="20"/>
  <c r="F24" i="20"/>
  <c r="B24" i="20"/>
  <c r="J20" i="20"/>
  <c r="F20" i="20"/>
  <c r="B20" i="20"/>
  <c r="J19" i="20"/>
  <c r="F19" i="20"/>
  <c r="B19" i="20"/>
  <c r="J18" i="20"/>
  <c r="F18" i="20"/>
  <c r="B18" i="20"/>
  <c r="J17" i="20"/>
  <c r="F17" i="20"/>
  <c r="B17" i="20"/>
  <c r="J16" i="20"/>
  <c r="F16" i="20"/>
  <c r="B16" i="20"/>
  <c r="J15" i="20"/>
  <c r="F15" i="20"/>
  <c r="B15" i="20"/>
  <c r="J11" i="20"/>
  <c r="J10" i="20"/>
  <c r="F10" i="20"/>
  <c r="J9" i="20"/>
  <c r="F9" i="20"/>
  <c r="B9" i="20"/>
  <c r="J8" i="20"/>
  <c r="F8" i="20"/>
  <c r="B8" i="20"/>
  <c r="J7" i="20"/>
  <c r="F7" i="20"/>
  <c r="B7" i="20"/>
  <c r="E1" i="20"/>
  <c r="D65" i="19"/>
  <c r="D64" i="19"/>
  <c r="D63" i="19"/>
  <c r="H36" i="20" s="1"/>
  <c r="D62" i="19"/>
  <c r="H35" i="20" s="1"/>
  <c r="D61" i="19"/>
  <c r="H34" i="20" s="1"/>
  <c r="D60" i="19"/>
  <c r="H33" i="20" s="1"/>
  <c r="D59" i="19"/>
  <c r="L33" i="20" s="1"/>
  <c r="D58" i="19"/>
  <c r="D37" i="20" s="1"/>
  <c r="D57" i="19"/>
  <c r="D36" i="20" s="1"/>
  <c r="D56" i="19"/>
  <c r="D35" i="20" s="1"/>
  <c r="D55" i="19"/>
  <c r="D34" i="20" s="1"/>
  <c r="D54" i="19"/>
  <c r="D33" i="20" s="1"/>
  <c r="D53" i="19"/>
  <c r="L27" i="20" s="1"/>
  <c r="D52" i="19"/>
  <c r="L26" i="20" s="1"/>
  <c r="D51" i="19"/>
  <c r="L25" i="20" s="1"/>
  <c r="D50" i="19"/>
  <c r="L24" i="20" s="1"/>
  <c r="D49" i="19"/>
  <c r="H29" i="20" s="1"/>
  <c r="D48" i="19"/>
  <c r="H28" i="20" s="1"/>
  <c r="D47" i="19"/>
  <c r="H27" i="20" s="1"/>
  <c r="D46" i="19"/>
  <c r="H26" i="20" s="1"/>
  <c r="D45" i="19"/>
  <c r="H25" i="20" s="1"/>
  <c r="D44" i="19"/>
  <c r="H24" i="20" s="1"/>
  <c r="D42" i="19"/>
  <c r="D27" i="20" s="1"/>
  <c r="D39" i="19"/>
  <c r="D24" i="20" s="1"/>
  <c r="D38" i="19"/>
  <c r="L20" i="20" s="1"/>
  <c r="D37" i="19"/>
  <c r="L19" i="20" s="1"/>
  <c r="D36" i="19"/>
  <c r="L18" i="20" s="1"/>
  <c r="D35" i="19"/>
  <c r="L17" i="20" s="1"/>
  <c r="D34" i="19"/>
  <c r="L16" i="20" s="1"/>
  <c r="D33" i="19"/>
  <c r="L15" i="20" s="1"/>
  <c r="D32" i="19"/>
  <c r="H20" i="20" s="1"/>
  <c r="D31" i="19"/>
  <c r="H19" i="20" s="1"/>
  <c r="D30" i="19"/>
  <c r="H18" i="20" s="1"/>
  <c r="D29" i="19"/>
  <c r="H17" i="20" s="1"/>
  <c r="D28" i="19"/>
  <c r="H16" i="20" s="1"/>
  <c r="D27" i="19"/>
  <c r="H15" i="20" s="1"/>
  <c r="D26" i="19"/>
  <c r="D20" i="20" s="1"/>
  <c r="D25" i="19"/>
  <c r="D19" i="20" s="1"/>
  <c r="D24" i="19"/>
  <c r="D18" i="20" s="1"/>
  <c r="D23" i="19"/>
  <c r="D17" i="20" s="1"/>
  <c r="D22" i="19"/>
  <c r="D16" i="20" s="1"/>
  <c r="D21" i="19"/>
  <c r="D15" i="20" s="1"/>
  <c r="D20" i="19"/>
  <c r="L11" i="20" s="1"/>
  <c r="D19" i="19"/>
  <c r="L10" i="20" s="1"/>
  <c r="D18" i="19"/>
  <c r="L9" i="20" s="1"/>
  <c r="D17" i="19"/>
  <c r="L8" i="20" s="1"/>
  <c r="D16" i="19"/>
  <c r="H11" i="20" s="1"/>
  <c r="D15" i="19"/>
  <c r="H10" i="20" s="1"/>
  <c r="D14" i="19"/>
  <c r="H9" i="20" s="1"/>
  <c r="D13" i="19"/>
  <c r="H8" i="20" s="1"/>
  <c r="D12" i="19"/>
  <c r="H7" i="20" s="1"/>
  <c r="D11" i="19"/>
  <c r="D9" i="20" s="1"/>
  <c r="D10" i="19"/>
  <c r="D8" i="20" s="1"/>
  <c r="D9" i="19"/>
  <c r="D7" i="20" s="1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I7" i="19"/>
  <c r="H7" i="19"/>
  <c r="G7" i="19"/>
  <c r="F7" i="19"/>
  <c r="E7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A5" i="19"/>
  <c r="I40" i="20" s="1"/>
  <c r="J33" i="14"/>
  <c r="F34" i="14"/>
  <c r="F35" i="14"/>
  <c r="F36" i="14"/>
  <c r="F33" i="14"/>
  <c r="B34" i="14"/>
  <c r="B35" i="14"/>
  <c r="B36" i="14"/>
  <c r="B37" i="14"/>
  <c r="B33" i="14"/>
  <c r="J25" i="14"/>
  <c r="J26" i="14"/>
  <c r="J27" i="14"/>
  <c r="J24" i="14"/>
  <c r="F25" i="14"/>
  <c r="F26" i="14"/>
  <c r="F27" i="14"/>
  <c r="F28" i="14"/>
  <c r="F29" i="14"/>
  <c r="F24" i="14"/>
  <c r="B25" i="14"/>
  <c r="B26" i="14"/>
  <c r="B27" i="14"/>
  <c r="B28" i="14"/>
  <c r="B24" i="14"/>
  <c r="J16" i="14"/>
  <c r="J17" i="14"/>
  <c r="J18" i="14"/>
  <c r="J19" i="14"/>
  <c r="J20" i="14"/>
  <c r="J15" i="14"/>
  <c r="F16" i="14"/>
  <c r="F17" i="14"/>
  <c r="F18" i="14"/>
  <c r="F19" i="14"/>
  <c r="F20" i="14"/>
  <c r="F15" i="14"/>
  <c r="B16" i="14"/>
  <c r="B17" i="14"/>
  <c r="B18" i="14"/>
  <c r="B19" i="14"/>
  <c r="B20" i="14"/>
  <c r="B15" i="14"/>
  <c r="J8" i="14"/>
  <c r="J9" i="14"/>
  <c r="J10" i="14"/>
  <c r="J11" i="14"/>
  <c r="J7" i="14"/>
  <c r="F8" i="14"/>
  <c r="F9" i="14"/>
  <c r="F10" i="14"/>
  <c r="F7" i="14"/>
  <c r="B8" i="14"/>
  <c r="B9" i="14"/>
  <c r="B7" i="14"/>
  <c r="C38" i="18"/>
  <c r="C39" i="18"/>
  <c r="C40" i="18"/>
  <c r="C37" i="18"/>
  <c r="C34" i="18"/>
  <c r="C35" i="18"/>
  <c r="C36" i="18"/>
  <c r="C33" i="18"/>
  <c r="C22" i="18"/>
  <c r="C23" i="18"/>
  <c r="C24" i="18"/>
  <c r="C25" i="18"/>
  <c r="C26" i="18"/>
  <c r="C27" i="18"/>
  <c r="C28" i="18"/>
  <c r="C29" i="18"/>
  <c r="C30" i="18"/>
  <c r="C31" i="18"/>
  <c r="C32" i="18"/>
  <c r="C17" i="18"/>
  <c r="C18" i="18"/>
  <c r="C19" i="18"/>
  <c r="C20" i="18"/>
  <c r="C21" i="18"/>
  <c r="C16" i="18"/>
  <c r="C11" i="18"/>
  <c r="C12" i="18"/>
  <c r="C13" i="18"/>
  <c r="C14" i="18"/>
  <c r="C15" i="18"/>
  <c r="C10" i="18"/>
  <c r="C42" i="18"/>
  <c r="G38" i="18"/>
  <c r="G39" i="18"/>
  <c r="G40" i="18"/>
  <c r="G37" i="18"/>
  <c r="G34" i="18"/>
  <c r="G35" i="18"/>
  <c r="G36" i="18"/>
  <c r="G33" i="18"/>
  <c r="J44" i="18" l="1"/>
  <c r="H41" i="20"/>
  <c r="L7" i="20"/>
  <c r="D11" i="20"/>
  <c r="D10" i="20"/>
  <c r="G29" i="18"/>
  <c r="G30" i="18"/>
  <c r="G31" i="18"/>
  <c r="G32" i="18"/>
  <c r="G28" i="18"/>
  <c r="G23" i="18"/>
  <c r="G24" i="18"/>
  <c r="G25" i="18"/>
  <c r="G26" i="18"/>
  <c r="G27" i="18"/>
  <c r="G22" i="18"/>
  <c r="G17" i="18"/>
  <c r="G18" i="18"/>
  <c r="G19" i="18"/>
  <c r="G20" i="18"/>
  <c r="G21" i="18"/>
  <c r="G11" i="18"/>
  <c r="G12" i="18"/>
  <c r="G13" i="18"/>
  <c r="G14" i="18"/>
  <c r="G15" i="18"/>
  <c r="G10" i="18" l="1"/>
  <c r="D1" i="18"/>
  <c r="D42" i="2"/>
  <c r="D27" i="14" s="1"/>
  <c r="D59" i="2"/>
  <c r="L33" i="14" s="1"/>
  <c r="H34" i="14"/>
  <c r="H35" i="14"/>
  <c r="H36" i="14"/>
  <c r="H33" i="14"/>
  <c r="D34" i="14"/>
  <c r="D35" i="14"/>
  <c r="D36" i="14"/>
  <c r="D37" i="14"/>
  <c r="D33" i="14"/>
  <c r="H26" i="14"/>
  <c r="H27" i="14"/>
  <c r="H28" i="14"/>
  <c r="H29" i="14"/>
  <c r="J6" i="2"/>
  <c r="D25" i="14"/>
  <c r="D26" i="14"/>
  <c r="D28" i="14"/>
  <c r="L16" i="14"/>
  <c r="L18" i="14"/>
  <c r="L20" i="14"/>
  <c r="L15" i="14"/>
  <c r="H16" i="14"/>
  <c r="H18" i="14"/>
  <c r="H20" i="14"/>
  <c r="D20" i="14"/>
  <c r="L8" i="14"/>
  <c r="L9" i="14"/>
  <c r="L10" i="14"/>
  <c r="L11" i="14"/>
  <c r="L7" i="14"/>
  <c r="H11" i="14"/>
  <c r="D60" i="2"/>
  <c r="D61" i="2"/>
  <c r="D62" i="2"/>
  <c r="D63" i="2"/>
  <c r="D44" i="2"/>
  <c r="H24" i="14" s="1"/>
  <c r="D45" i="2"/>
  <c r="H25" i="14" s="1"/>
  <c r="D46" i="2"/>
  <c r="D47" i="2"/>
  <c r="D48" i="2"/>
  <c r="D49" i="2"/>
  <c r="D50" i="2"/>
  <c r="L24" i="14" s="1"/>
  <c r="D51" i="2"/>
  <c r="L25" i="14" s="1"/>
  <c r="D52" i="2"/>
  <c r="L26" i="14" s="1"/>
  <c r="D53" i="2"/>
  <c r="L27" i="14" s="1"/>
  <c r="D54" i="2"/>
  <c r="D55" i="2"/>
  <c r="D56" i="2"/>
  <c r="D57" i="2"/>
  <c r="D58" i="2"/>
  <c r="D10" i="2"/>
  <c r="D8" i="14" s="1"/>
  <c r="D12" i="2"/>
  <c r="D10" i="14" s="1"/>
  <c r="D13" i="2"/>
  <c r="H8" i="14" s="1"/>
  <c r="D14" i="2"/>
  <c r="H9" i="14" s="1"/>
  <c r="D15" i="2"/>
  <c r="H10" i="14" s="1"/>
  <c r="D16" i="2"/>
  <c r="D17" i="2"/>
  <c r="D18" i="2"/>
  <c r="D19" i="2"/>
  <c r="D20" i="2"/>
  <c r="D21" i="2"/>
  <c r="D15" i="14" s="1"/>
  <c r="D22" i="2"/>
  <c r="D16" i="14" s="1"/>
  <c r="D23" i="2"/>
  <c r="D17" i="14" s="1"/>
  <c r="D24" i="2"/>
  <c r="D18" i="14" s="1"/>
  <c r="D25" i="2"/>
  <c r="D19" i="14" s="1"/>
  <c r="D26" i="2"/>
  <c r="D27" i="2"/>
  <c r="G16" i="18" s="1"/>
  <c r="D28" i="2"/>
  <c r="D29" i="2"/>
  <c r="H17" i="14" s="1"/>
  <c r="D30" i="2"/>
  <c r="D31" i="2"/>
  <c r="H19" i="14" s="1"/>
  <c r="D32" i="2"/>
  <c r="D33" i="2"/>
  <c r="D34" i="2"/>
  <c r="D35" i="2"/>
  <c r="L17" i="14" s="1"/>
  <c r="D36" i="2"/>
  <c r="D37" i="2"/>
  <c r="L19" i="14" s="1"/>
  <c r="D38" i="2"/>
  <c r="D39" i="2"/>
  <c r="D9" i="2"/>
  <c r="D7" i="14" s="1"/>
  <c r="I44" i="6"/>
  <c r="I34" i="6"/>
  <c r="I24" i="6"/>
  <c r="I14" i="6"/>
  <c r="J44" i="8"/>
  <c r="C44" i="8"/>
  <c r="J44" i="4"/>
  <c r="C44" i="4"/>
  <c r="B13" i="7" a="1"/>
  <c r="B13" i="7" s="1"/>
  <c r="C13" i="7" a="1"/>
  <c r="C13" i="7" s="1"/>
  <c r="G13" i="7" a="1"/>
  <c r="G13" i="7" s="1"/>
  <c r="G10" i="7" a="1"/>
  <c r="G10" i="7" s="1"/>
  <c r="G11" i="7" a="1"/>
  <c r="G11" i="7" s="1"/>
  <c r="G12" i="7" a="1"/>
  <c r="G12" i="7" s="1"/>
  <c r="G9" i="7" a="1"/>
  <c r="G9" i="7" s="1"/>
  <c r="B11" i="7" a="1"/>
  <c r="B11" i="7" s="1"/>
  <c r="C11" i="7" a="1"/>
  <c r="C11" i="7" s="1"/>
  <c r="B12" i="7" a="1"/>
  <c r="B12" i="7" s="1"/>
  <c r="C12" i="7" a="1"/>
  <c r="C12" i="7" s="1"/>
  <c r="B10" i="7" a="1"/>
  <c r="B10" i="7" s="1"/>
  <c r="C10" i="7" a="1"/>
  <c r="C10" i="7" s="1"/>
  <c r="C9" i="7" a="1"/>
  <c r="C9" i="7" s="1"/>
  <c r="B9" i="7" a="1"/>
  <c r="B9" i="7" s="1"/>
  <c r="C3" i="1"/>
  <c r="F1" i="7" s="1"/>
  <c r="H15" i="14" l="1"/>
  <c r="E1" i="14"/>
  <c r="C40" i="14"/>
  <c r="D24" i="14"/>
  <c r="D11" i="14"/>
  <c r="H7" i="14"/>
  <c r="E2" i="6"/>
  <c r="D1" i="8"/>
  <c r="D1" i="4"/>
  <c r="I7" i="2" l="1"/>
  <c r="I6" i="2"/>
  <c r="B2" i="3" l="1"/>
  <c r="D2" i="3" s="1"/>
  <c r="B7" i="3"/>
  <c r="D7" i="3" s="1"/>
  <c r="B6" i="3"/>
  <c r="D6" i="3" s="1"/>
  <c r="B4" i="3"/>
  <c r="D4" i="3" s="1"/>
  <c r="B5" i="3"/>
  <c r="D5" i="3" s="1"/>
  <c r="B3" i="3"/>
  <c r="D3" i="3" s="1"/>
  <c r="C13" i="1"/>
  <c r="C15" i="1"/>
  <c r="Y7" i="2"/>
  <c r="X7" i="2"/>
  <c r="W7" i="2"/>
  <c r="Y6" i="2"/>
  <c r="X6" i="2"/>
  <c r="W6" i="2"/>
  <c r="V7" i="2"/>
  <c r="U7" i="2"/>
  <c r="T7" i="2"/>
  <c r="V6" i="2"/>
  <c r="U6" i="2"/>
  <c r="T6" i="2"/>
  <c r="S7" i="2"/>
  <c r="R7" i="2"/>
  <c r="Q7" i="2"/>
  <c r="S6" i="2"/>
  <c r="R6" i="2"/>
  <c r="Q6" i="2"/>
  <c r="P7" i="2"/>
  <c r="O7" i="2"/>
  <c r="N7" i="2"/>
  <c r="P6" i="2"/>
  <c r="O6" i="2"/>
  <c r="N6" i="2"/>
  <c r="D65" i="2"/>
  <c r="D64" i="2"/>
  <c r="A5" i="2"/>
  <c r="I40" i="14" s="1"/>
  <c r="M6" i="2"/>
  <c r="M7" i="2"/>
  <c r="L6" i="2"/>
  <c r="L7" i="2"/>
  <c r="E7" i="2"/>
  <c r="F7" i="2"/>
  <c r="G7" i="2"/>
  <c r="H7" i="2"/>
  <c r="E6" i="2"/>
  <c r="F6" i="2"/>
  <c r="G6" i="2"/>
  <c r="H6" i="2"/>
  <c r="K7" i="2"/>
  <c r="K6" i="2"/>
  <c r="C44" i="18" l="1"/>
  <c r="H25" i="7" s="1"/>
  <c r="H41" i="14"/>
  <c r="D11" i="2"/>
  <c r="D9" i="14" s="1"/>
  <c r="C16" i="1"/>
  <c r="F6" i="7"/>
  <c r="I23" i="7" s="1"/>
  <c r="C19" i="1"/>
  <c r="C18" i="1"/>
  <c r="C20" i="1" l="1"/>
  <c r="E1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<sst xmlns="http://schemas.openxmlformats.org/spreadsheetml/2006/main" count="638" uniqueCount="428">
  <si>
    <t>삼성화재</t>
    <phoneticPr fontId="3" type="noConversion"/>
  </si>
  <si>
    <t>보험명</t>
    <phoneticPr fontId="3" type="noConversion"/>
  </si>
  <si>
    <t>납입기간</t>
    <phoneticPr fontId="3" type="noConversion"/>
  </si>
  <si>
    <t>사망</t>
    <phoneticPr fontId="3" type="noConversion"/>
  </si>
  <si>
    <t>일반사망</t>
    <phoneticPr fontId="3" type="noConversion"/>
  </si>
  <si>
    <t>질병사망</t>
    <phoneticPr fontId="3" type="noConversion"/>
  </si>
  <si>
    <t>상해사망</t>
    <phoneticPr fontId="3" type="noConversion"/>
  </si>
  <si>
    <t>납입완료</t>
    <phoneticPr fontId="3" type="noConversion"/>
  </si>
  <si>
    <t>납입예정</t>
    <phoneticPr fontId="3" type="noConversion"/>
  </si>
  <si>
    <t>만기</t>
    <phoneticPr fontId="3" type="noConversion"/>
  </si>
  <si>
    <t>보장시작</t>
    <phoneticPr fontId="3" type="noConversion"/>
  </si>
  <si>
    <t>보장종료</t>
    <phoneticPr fontId="3" type="noConversion"/>
  </si>
  <si>
    <t>장해</t>
    <phoneticPr fontId="3" type="noConversion"/>
  </si>
  <si>
    <t>질병후유장해(3%)</t>
    <phoneticPr fontId="3" type="noConversion"/>
  </si>
  <si>
    <t>질병후유장해(80%)</t>
    <phoneticPr fontId="3" type="noConversion"/>
  </si>
  <si>
    <t>상해후유장해(3%)</t>
    <phoneticPr fontId="3" type="noConversion"/>
  </si>
  <si>
    <t>상해후유장해(80%)</t>
    <phoneticPr fontId="3" type="noConversion"/>
  </si>
  <si>
    <t>치매
간병</t>
    <phoneticPr fontId="3" type="noConversion"/>
  </si>
  <si>
    <t>경증 치매 진단</t>
    <phoneticPr fontId="3" type="noConversion"/>
  </si>
  <si>
    <t>재가급여</t>
    <phoneticPr fontId="3" type="noConversion"/>
  </si>
  <si>
    <t>암</t>
    <phoneticPr fontId="3" type="noConversion"/>
  </si>
  <si>
    <t>일반암 진단</t>
    <phoneticPr fontId="3" type="noConversion"/>
  </si>
  <si>
    <t>유사암 진단</t>
    <phoneticPr fontId="3" type="noConversion"/>
  </si>
  <si>
    <t>암 주요 치료비</t>
    <phoneticPr fontId="3" type="noConversion"/>
  </si>
  <si>
    <t>뇌</t>
    <phoneticPr fontId="3" type="noConversion"/>
  </si>
  <si>
    <t>뇌혈관질환 진단</t>
    <phoneticPr fontId="3" type="noConversion"/>
  </si>
  <si>
    <t>뇌졸증 진단</t>
    <phoneticPr fontId="3" type="noConversion"/>
  </si>
  <si>
    <t>뇌출혈 진단</t>
    <phoneticPr fontId="3" type="noConversion"/>
  </si>
  <si>
    <t>혈전용해치료비</t>
    <phoneticPr fontId="3" type="noConversion"/>
  </si>
  <si>
    <t>뇌혈관 수술비</t>
    <phoneticPr fontId="3" type="noConversion"/>
  </si>
  <si>
    <t>심장</t>
    <phoneticPr fontId="3" type="noConversion"/>
  </si>
  <si>
    <t>급성심근경색 진단</t>
    <phoneticPr fontId="3" type="noConversion"/>
  </si>
  <si>
    <t>수술</t>
    <phoneticPr fontId="3" type="noConversion"/>
  </si>
  <si>
    <t>질병 수술비</t>
    <phoneticPr fontId="3" type="noConversion"/>
  </si>
  <si>
    <t>질병 종 수술비</t>
    <phoneticPr fontId="3" type="noConversion"/>
  </si>
  <si>
    <t>상해 수술비</t>
    <phoneticPr fontId="3" type="noConversion"/>
  </si>
  <si>
    <t>상해 종 수술비</t>
    <phoneticPr fontId="3" type="noConversion"/>
  </si>
  <si>
    <t>입원</t>
    <phoneticPr fontId="3" type="noConversion"/>
  </si>
  <si>
    <t>질병 입원</t>
    <phoneticPr fontId="3" type="noConversion"/>
  </si>
  <si>
    <t>상해 입원</t>
    <phoneticPr fontId="3" type="noConversion"/>
  </si>
  <si>
    <t>질병 간호간병통합</t>
    <phoneticPr fontId="3" type="noConversion"/>
  </si>
  <si>
    <t>상해 간호간병통합</t>
    <phoneticPr fontId="3" type="noConversion"/>
  </si>
  <si>
    <t>1인실</t>
    <phoneticPr fontId="3" type="noConversion"/>
  </si>
  <si>
    <t>상급종합병원</t>
    <phoneticPr fontId="3" type="noConversion"/>
  </si>
  <si>
    <t>종합병원</t>
    <phoneticPr fontId="3" type="noConversion"/>
  </si>
  <si>
    <t>골절
화상</t>
    <phoneticPr fontId="3" type="noConversion"/>
  </si>
  <si>
    <t>깁스</t>
    <phoneticPr fontId="3" type="noConversion"/>
  </si>
  <si>
    <t>골절진단</t>
    <phoneticPr fontId="3" type="noConversion"/>
  </si>
  <si>
    <t>5대골절진단</t>
    <phoneticPr fontId="3" type="noConversion"/>
  </si>
  <si>
    <t>화상진단</t>
    <phoneticPr fontId="3" type="noConversion"/>
  </si>
  <si>
    <t>운전자</t>
    <phoneticPr fontId="3" type="noConversion"/>
  </si>
  <si>
    <t>벌금(대인)</t>
    <phoneticPr fontId="3" type="noConversion"/>
  </si>
  <si>
    <t>벌금(대물)</t>
    <phoneticPr fontId="3" type="noConversion"/>
  </si>
  <si>
    <t>교통사고처리지원금</t>
    <phoneticPr fontId="3" type="noConversion"/>
  </si>
  <si>
    <t>변호사선임비용</t>
    <phoneticPr fontId="3" type="noConversion"/>
  </si>
  <si>
    <t>배상</t>
    <phoneticPr fontId="3" type="noConversion"/>
  </si>
  <si>
    <t>일상생활배상책임</t>
    <phoneticPr fontId="3" type="noConversion"/>
  </si>
  <si>
    <t>실손
의료비</t>
    <phoneticPr fontId="3" type="noConversion"/>
  </si>
  <si>
    <t>질병입원 의료비</t>
    <phoneticPr fontId="3" type="noConversion"/>
  </si>
  <si>
    <t>질병통원 의료비</t>
    <phoneticPr fontId="3" type="noConversion"/>
  </si>
  <si>
    <t>상해통원 의료비</t>
    <phoneticPr fontId="3" type="noConversion"/>
  </si>
  <si>
    <t>상해입원 의료비</t>
    <phoneticPr fontId="3" type="noConversion"/>
  </si>
  <si>
    <t>한화생명</t>
  </si>
  <si>
    <t>자부상</t>
    <phoneticPr fontId="3" type="noConversion"/>
  </si>
  <si>
    <t>자동차사고부상치료비</t>
    <phoneticPr fontId="3" type="noConversion"/>
  </si>
  <si>
    <t>중입자 치료비</t>
  </si>
  <si>
    <t>항암 방사선 치료비</t>
    <phoneticPr fontId="3" type="noConversion"/>
  </si>
  <si>
    <t>항암 약물 치료비</t>
    <phoneticPr fontId="3" type="noConversion"/>
  </si>
  <si>
    <t>심혈관질환 진단</t>
    <phoneticPr fontId="3" type="noConversion"/>
  </si>
  <si>
    <t>2대 주요 치료비</t>
    <phoneticPr fontId="3" type="noConversion"/>
  </si>
  <si>
    <t>N대 수술비</t>
    <phoneticPr fontId="3" type="noConversion"/>
  </si>
  <si>
    <t>질병 간병인 일당</t>
    <phoneticPr fontId="3" type="noConversion"/>
  </si>
  <si>
    <t>상해 간병인 일당</t>
    <phoneticPr fontId="3" type="noConversion"/>
  </si>
  <si>
    <t>허혈성심장 수술비</t>
    <phoneticPr fontId="3" type="noConversion"/>
  </si>
  <si>
    <t>시설급여</t>
    <phoneticPr fontId="3" type="noConversion"/>
  </si>
  <si>
    <t>허혈성심장 진단</t>
    <phoneticPr fontId="3" type="noConversion"/>
  </si>
  <si>
    <t>월 보험료 합계</t>
    <phoneticPr fontId="3" type="noConversion"/>
  </si>
  <si>
    <t>월 보험료</t>
    <phoneticPr fontId="3" type="noConversion"/>
  </si>
  <si>
    <t>배지연</t>
    <phoneticPr fontId="3" type="noConversion"/>
  </si>
  <si>
    <t>010-7662-5117</t>
    <phoneticPr fontId="3" type="noConversion"/>
  </si>
  <si>
    <t>기타</t>
    <phoneticPr fontId="3" type="noConversion"/>
  </si>
  <si>
    <t>고객님을 위한</t>
    <phoneticPr fontId="3" type="noConversion"/>
  </si>
  <si>
    <t>담당자</t>
    <phoneticPr fontId="3" type="noConversion"/>
  </si>
  <si>
    <t>소속</t>
    <phoneticPr fontId="3" type="noConversion"/>
  </si>
  <si>
    <t>연락처</t>
    <phoneticPr fontId="3" type="noConversion"/>
  </si>
  <si>
    <t>FAX</t>
    <phoneticPr fontId="3" type="noConversion"/>
  </si>
  <si>
    <t>보험나무</t>
    <phoneticPr fontId="3" type="noConversion"/>
  </si>
  <si>
    <t>0504-444-5117</t>
    <phoneticPr fontId="3" type="noConversion"/>
  </si>
  <si>
    <t>정상계약</t>
    <phoneticPr fontId="3" type="noConversion"/>
  </si>
  <si>
    <t>님 보험 현황</t>
    <phoneticPr fontId="3" type="noConversion"/>
  </si>
  <si>
    <t>총 보험료</t>
    <phoneticPr fontId="3" type="noConversion"/>
  </si>
  <si>
    <t xml:space="preserve"> 건</t>
    <phoneticPr fontId="3" type="noConversion"/>
  </si>
  <si>
    <t xml:space="preserve"> 원</t>
    <phoneticPr fontId="3" type="noConversion"/>
  </si>
  <si>
    <t>E-MAIL</t>
    <phoneticPr fontId="3" type="noConversion"/>
  </si>
  <si>
    <t>yoni0901@naver.com</t>
    <phoneticPr fontId="3" type="noConversion"/>
  </si>
  <si>
    <t>고객님이 가입하고 계신 보험을 종합적으로 분석하여</t>
    <phoneticPr fontId="3" type="noConversion"/>
  </si>
  <si>
    <t>후유장해</t>
    <phoneticPr fontId="3" type="noConversion"/>
  </si>
  <si>
    <t>가입금액</t>
    <phoneticPr fontId="3" type="noConversion"/>
  </si>
  <si>
    <t>기준금액</t>
    <phoneticPr fontId="3" type="noConversion"/>
  </si>
  <si>
    <t>보장 (질병)</t>
    <phoneticPr fontId="3" type="noConversion"/>
  </si>
  <si>
    <t>점수</t>
    <phoneticPr fontId="3" type="noConversion"/>
  </si>
  <si>
    <t>라이프스타일과 재무 상황을 반영한 최적의 맞춤 보장 설계를 제안해 드립니다</t>
    <phoneticPr fontId="3" type="noConversion"/>
  </si>
  <si>
    <t>이미지를 이용해 표지를 꾸며 보세요 !</t>
    <phoneticPr fontId="3" type="noConversion"/>
  </si>
  <si>
    <t>고객 상담 일지</t>
    <phoneticPr fontId="3" type="noConversion"/>
  </si>
  <si>
    <r>
      <rPr>
        <b/>
        <sz val="11"/>
        <color theme="1"/>
        <rFont val="Segoe UI Symbol"/>
        <family val="3"/>
      </rPr>
      <t>⭐</t>
    </r>
    <r>
      <rPr>
        <b/>
        <sz val="11"/>
        <color theme="1"/>
        <rFont val="맑은 고딕"/>
        <family val="3"/>
        <charset val="129"/>
        <scheme val="minor"/>
      </rPr>
      <t>개인정보동의 정보</t>
    </r>
    <phoneticPr fontId="3" type="noConversion"/>
  </si>
  <si>
    <t>전화번호</t>
    <phoneticPr fontId="3" type="noConversion"/>
  </si>
  <si>
    <t>이름</t>
    <phoneticPr fontId="3" type="noConversion"/>
  </si>
  <si>
    <t>주소</t>
    <phoneticPr fontId="3" type="noConversion"/>
  </si>
  <si>
    <t>주민번호</t>
    <phoneticPr fontId="3" type="noConversion"/>
  </si>
  <si>
    <t>직업</t>
    <phoneticPr fontId="3" type="noConversion"/>
  </si>
  <si>
    <t>운전여부</t>
    <phoneticPr fontId="3" type="noConversion"/>
  </si>
  <si>
    <t>통신사</t>
    <phoneticPr fontId="3" type="noConversion"/>
  </si>
  <si>
    <r>
      <rPr>
        <b/>
        <sz val="11"/>
        <color theme="1"/>
        <rFont val="Segoe UI Symbol"/>
        <family val="3"/>
      </rPr>
      <t>⭐</t>
    </r>
    <r>
      <rPr>
        <b/>
        <sz val="11"/>
        <color theme="1"/>
        <rFont val="맑은 고딕"/>
        <family val="3"/>
        <charset val="129"/>
        <scheme val="minor"/>
      </rPr>
      <t>계약전 알릴의무</t>
    </r>
    <phoneticPr fontId="3" type="noConversion"/>
  </si>
  <si>
    <t>근무처</t>
    <phoneticPr fontId="3" type="noConversion"/>
  </si>
  <si>
    <t>업종</t>
    <phoneticPr fontId="3" type="noConversion"/>
  </si>
  <si>
    <t>키</t>
    <phoneticPr fontId="3" type="noConversion"/>
  </si>
  <si>
    <t>몸무게</t>
    <phoneticPr fontId="3" type="noConversion"/>
  </si>
  <si>
    <t>이륜차</t>
    <phoneticPr fontId="3" type="noConversion"/>
  </si>
  <si>
    <t>구분</t>
    <phoneticPr fontId="3" type="noConversion"/>
  </si>
  <si>
    <t>5년</t>
    <phoneticPr fontId="3" type="noConversion"/>
  </si>
  <si>
    <t>1년</t>
    <phoneticPr fontId="3" type="noConversion"/>
  </si>
  <si>
    <t>3개월</t>
    <phoneticPr fontId="3" type="noConversion"/>
  </si>
  <si>
    <t>차량번호</t>
    <phoneticPr fontId="3" type="noConversion"/>
  </si>
  <si>
    <t>차종</t>
    <phoneticPr fontId="3" type="noConversion"/>
  </si>
  <si>
    <t>진단명</t>
    <phoneticPr fontId="3" type="noConversion"/>
  </si>
  <si>
    <t>치료기간</t>
    <phoneticPr fontId="3" type="noConversion"/>
  </si>
  <si>
    <t>치료내용</t>
    <phoneticPr fontId="3" type="noConversion"/>
  </si>
  <si>
    <t>레저활동</t>
    <phoneticPr fontId="3" type="noConversion"/>
  </si>
  <si>
    <r>
      <rPr>
        <b/>
        <sz val="11"/>
        <color theme="1"/>
        <rFont val="Segoe UI Symbol"/>
        <family val="3"/>
      </rPr>
      <t>⭐</t>
    </r>
    <r>
      <rPr>
        <b/>
        <sz val="11"/>
        <color theme="1"/>
        <rFont val="맑은 고딕"/>
        <family val="3"/>
        <charset val="129"/>
        <scheme val="minor"/>
      </rPr>
      <t>차량정보</t>
    </r>
    <phoneticPr fontId="3" type="noConversion"/>
  </si>
  <si>
    <r>
      <rPr>
        <sz val="11"/>
        <color theme="1"/>
        <rFont val="맑은 고딕"/>
        <family val="2"/>
        <charset val="129"/>
      </rPr>
      <t xml:space="preserve">   □ </t>
    </r>
    <r>
      <rPr>
        <sz val="11"/>
        <color theme="1"/>
        <rFont val="맑은 고딕"/>
        <family val="2"/>
        <charset val="129"/>
        <scheme val="minor"/>
      </rPr>
      <t>질병확정진단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질병의심소견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 xml:space="preserve">치료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입원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수술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제왕절개포함</t>
    </r>
    <r>
      <rPr>
        <sz val="11"/>
        <color theme="1"/>
        <rFont val="Calibri"/>
        <family val="2"/>
      </rPr>
      <t xml:space="preserve">)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투약</t>
    </r>
    <phoneticPr fontId="3" type="noConversion"/>
  </si>
  <si>
    <r>
      <rPr>
        <sz val="11"/>
        <color theme="1"/>
        <rFont val="맑은 고딕"/>
        <family val="2"/>
        <charset val="129"/>
      </rPr>
      <t xml:space="preserve">   □ </t>
    </r>
    <r>
      <rPr>
        <sz val="11"/>
        <color theme="1"/>
        <rFont val="맑은 고딕"/>
        <family val="2"/>
        <charset val="129"/>
        <scheme val="minor"/>
      </rPr>
      <t>입원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 □ </t>
    </r>
    <r>
      <rPr>
        <sz val="11"/>
        <color theme="1"/>
        <rFont val="맑은 고딕"/>
        <family val="2"/>
        <charset val="129"/>
        <scheme val="minor"/>
      </rPr>
      <t>수술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제왕절개포함</t>
    </r>
    <r>
      <rPr>
        <sz val="11"/>
        <color theme="1"/>
        <rFont val="Calibri"/>
        <family val="2"/>
      </rPr>
      <t xml:space="preserve">)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계속하여</t>
    </r>
    <r>
      <rPr>
        <sz val="11"/>
        <color theme="1"/>
        <rFont val="Calibri"/>
        <family val="2"/>
      </rPr>
      <t xml:space="preserve"> 7</t>
    </r>
    <r>
      <rPr>
        <sz val="11"/>
        <color theme="1"/>
        <rFont val="맑은 고딕"/>
        <family val="2"/>
        <charset val="129"/>
        <scheme val="minor"/>
      </rPr>
      <t>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치료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2"/>
        <charset val="129"/>
      </rPr>
      <t xml:space="preserve">□ </t>
    </r>
    <r>
      <rPr>
        <sz val="11"/>
        <color theme="1"/>
        <rFont val="맑은 고딕"/>
        <family val="2"/>
        <charset val="129"/>
        <scheme val="minor"/>
      </rPr>
      <t>계속하여</t>
    </r>
    <r>
      <rPr>
        <sz val="11"/>
        <color theme="1"/>
        <rFont val="Calibri"/>
        <family val="2"/>
      </rPr>
      <t xml:space="preserve"> 30</t>
    </r>
    <r>
      <rPr>
        <sz val="11"/>
        <color theme="1"/>
        <rFont val="맑은 고딕"/>
        <family val="2"/>
        <charset val="129"/>
        <scheme val="minor"/>
      </rPr>
      <t>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이상투약</t>
    </r>
    <phoneticPr fontId="3" type="noConversion"/>
  </si>
  <si>
    <r>
      <rPr>
        <b/>
        <sz val="11"/>
        <color theme="1"/>
        <rFont val="Segoe UI Symbol"/>
        <family val="2"/>
      </rPr>
      <t xml:space="preserve">➤ </t>
    </r>
    <r>
      <rPr>
        <b/>
        <sz val="11"/>
        <color theme="1"/>
        <rFont val="맑은 고딕"/>
        <family val="2"/>
        <charset val="129"/>
        <scheme val="minor"/>
      </rPr>
      <t>최근</t>
    </r>
    <r>
      <rPr>
        <b/>
        <sz val="11"/>
        <color rgb="FFFF0000"/>
        <rFont val="Calibri"/>
        <family val="2"/>
      </rPr>
      <t xml:space="preserve"> 3</t>
    </r>
    <r>
      <rPr>
        <b/>
        <sz val="11"/>
        <color rgb="FFFF0000"/>
        <rFont val="맑은 고딕"/>
        <family val="2"/>
        <charset val="129"/>
        <scheme val="minor"/>
      </rPr>
      <t>개월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맑은 고딕"/>
        <family val="2"/>
        <charset val="129"/>
        <scheme val="minor"/>
      </rPr>
      <t>이내</t>
    </r>
    <r>
      <rPr>
        <b/>
        <sz val="11"/>
        <color theme="1"/>
        <rFont val="맑은 고딕"/>
        <family val="2"/>
        <charset val="129"/>
        <scheme val="minor"/>
      </rPr>
      <t>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의사로부터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진찰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또는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검사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맑은 고딕"/>
        <family val="2"/>
        <charset val="129"/>
        <scheme val="minor"/>
      </rPr>
      <t>건강검진포함</t>
    </r>
    <r>
      <rPr>
        <b/>
        <sz val="11"/>
        <color theme="1"/>
        <rFont val="Calibri"/>
        <family val="2"/>
      </rPr>
      <t xml:space="preserve">) </t>
    </r>
    <r>
      <rPr>
        <b/>
        <sz val="11"/>
        <color theme="1"/>
        <rFont val="맑은 고딕"/>
        <family val="2"/>
        <charset val="129"/>
        <scheme val="minor"/>
      </rPr>
      <t>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통하여
    다음과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같은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의료행위를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받은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사실이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있습니까</t>
    </r>
    <r>
      <rPr>
        <b/>
        <sz val="11"/>
        <color theme="1"/>
        <rFont val="Calibri"/>
        <family val="2"/>
      </rPr>
      <t>?</t>
    </r>
    <phoneticPr fontId="3" type="noConversion"/>
  </si>
  <si>
    <r>
      <rPr>
        <b/>
        <sz val="11"/>
        <color theme="1"/>
        <rFont val="Segoe UI Symbol"/>
        <family val="2"/>
      </rPr>
      <t>➤</t>
    </r>
    <r>
      <rPr>
        <b/>
        <sz val="11"/>
        <color theme="1"/>
        <rFont val="맑은 고딕"/>
        <family val="2"/>
        <charset val="129"/>
        <scheme val="minor"/>
      </rPr>
      <t xml:space="preserve"> 최근 </t>
    </r>
    <r>
      <rPr>
        <b/>
        <sz val="11"/>
        <color rgb="FFFF0000"/>
        <rFont val="맑은 고딕"/>
        <family val="3"/>
        <charset val="129"/>
        <scheme val="minor"/>
      </rPr>
      <t>3개월 이내</t>
    </r>
    <r>
      <rPr>
        <b/>
        <sz val="11"/>
        <color theme="1"/>
        <rFont val="맑은 고딕"/>
        <family val="2"/>
        <charset val="129"/>
        <scheme val="minor"/>
      </rPr>
      <t>에 마약을 사용하거나 혈압강하제, 신경안정제, 수면제,
    각성제 (흥분제), 진통제 등약물을 상시 복용한 사실이 있습니까?</t>
    </r>
    <phoneticPr fontId="3" type="noConversion"/>
  </si>
  <si>
    <r>
      <rPr>
        <b/>
        <sz val="11"/>
        <color theme="1"/>
        <rFont val="Segoe UI Symbol"/>
        <family val="2"/>
      </rPr>
      <t>➤</t>
    </r>
    <r>
      <rPr>
        <b/>
        <sz val="11"/>
        <color theme="1"/>
        <rFont val="맑은 고딕"/>
        <family val="2"/>
        <charset val="129"/>
        <scheme val="minor"/>
      </rPr>
      <t xml:space="preserve"> 최근 </t>
    </r>
    <r>
      <rPr>
        <b/>
        <sz val="11"/>
        <color rgb="FFFF0000"/>
        <rFont val="맑은 고딕"/>
        <family val="3"/>
        <charset val="129"/>
        <scheme val="minor"/>
      </rPr>
      <t>1년 이내</t>
    </r>
    <r>
      <rPr>
        <b/>
        <sz val="11"/>
        <color theme="1"/>
        <rFont val="맑은 고딕"/>
        <family val="2"/>
        <charset val="129"/>
        <scheme val="minor"/>
      </rPr>
      <t>에 의사로부터 진찰 또는 검사를 받고
    이를 통하여 추가검사(재검사)를 받은 사실이 있습니까?</t>
    </r>
    <phoneticPr fontId="3" type="noConversion"/>
  </si>
  <si>
    <r>
      <rPr>
        <b/>
        <sz val="11"/>
        <color theme="1"/>
        <rFont val="Segoe UI Symbol"/>
        <family val="2"/>
      </rPr>
      <t>➤</t>
    </r>
    <r>
      <rPr>
        <b/>
        <sz val="11"/>
        <color theme="1"/>
        <rFont val="맑은 고딕"/>
        <family val="2"/>
        <charset val="129"/>
        <scheme val="minor"/>
      </rPr>
      <t xml:space="preserve"> 최근 </t>
    </r>
    <r>
      <rPr>
        <b/>
        <sz val="11"/>
        <color rgb="FFFF0000"/>
        <rFont val="맑은 고딕"/>
        <family val="3"/>
        <charset val="129"/>
        <scheme val="minor"/>
      </rPr>
      <t>5년 이내</t>
    </r>
    <r>
      <rPr>
        <b/>
        <sz val="11"/>
        <color theme="1"/>
        <rFont val="맑은 고딕"/>
        <family val="2"/>
        <charset val="129"/>
        <scheme val="minor"/>
      </rPr>
      <t>에 의사로부터 진찰 또는 검사를 통하여
    다음과 같은 의료행위를 받은 사실이 있습니까?</t>
    </r>
    <phoneticPr fontId="3" type="noConversion"/>
  </si>
  <si>
    <t>수정금지</t>
    <phoneticPr fontId="3" type="noConversion"/>
  </si>
  <si>
    <t>수정가능</t>
    <phoneticPr fontId="3" type="noConversion"/>
  </si>
  <si>
    <t>총 납입 보험료</t>
    <phoneticPr fontId="3" type="noConversion"/>
  </si>
  <si>
    <t>고객님 리모델링 보고서</t>
    <phoneticPr fontId="3" type="noConversion"/>
  </si>
  <si>
    <t>현재 총 보험료</t>
    <phoneticPr fontId="3" type="noConversion"/>
  </si>
  <si>
    <t>한화생명 100세착한암보험</t>
    <phoneticPr fontId="3" type="noConversion"/>
  </si>
  <si>
    <t>리모델링 후 총 보험료</t>
    <phoneticPr fontId="3" type="noConversion"/>
  </si>
  <si>
    <t>보험 리모델링 후 월 보험료</t>
    <phoneticPr fontId="3" type="noConversion"/>
  </si>
  <si>
    <t>절감</t>
    <phoneticPr fontId="3" type="noConversion"/>
  </si>
  <si>
    <t>현대해상</t>
    <phoneticPr fontId="3" type="noConversion"/>
  </si>
  <si>
    <t>년납</t>
    <phoneticPr fontId="3" type="noConversion"/>
  </si>
  <si>
    <t xml:space="preserve">이 절감 됩니다 </t>
    <phoneticPr fontId="3" type="noConversion"/>
  </si>
  <si>
    <t>법률비용</t>
    <phoneticPr fontId="3" type="noConversion"/>
  </si>
  <si>
    <t>일상배상책임</t>
    <phoneticPr fontId="3" type="noConversion"/>
  </si>
  <si>
    <t>1-7급</t>
    <phoneticPr fontId="3" type="noConversion"/>
  </si>
  <si>
    <t>14급</t>
    <phoneticPr fontId="3" type="noConversion"/>
  </si>
  <si>
    <t xml:space="preserve"> 고객님 건강보험 비교제안서</t>
    <phoneticPr fontId="3" type="noConversion"/>
  </si>
  <si>
    <t xml:space="preserve"> ← 월 보험료만 입력</t>
    <phoneticPr fontId="3" type="noConversion"/>
  </si>
  <si>
    <t xml:space="preserve"> ← 자동산출</t>
    <phoneticPr fontId="3" type="noConversion"/>
  </si>
  <si>
    <t>벌금 (대인)</t>
    <phoneticPr fontId="3" type="noConversion"/>
  </si>
  <si>
    <t>벌금 (대물)</t>
    <phoneticPr fontId="3" type="noConversion"/>
  </si>
  <si>
    <t>계약자</t>
    <phoneticPr fontId="3" type="noConversion"/>
  </si>
  <si>
    <t>피보험자</t>
    <phoneticPr fontId="3" type="noConversion"/>
  </si>
  <si>
    <t xml:space="preserve"> ← 숫자만 입력</t>
    <phoneticPr fontId="3" type="noConversion"/>
  </si>
  <si>
    <t xml:space="preserve"> ← 담보명 수정하여 사용 / 금액 숫자만 입력</t>
    <phoneticPr fontId="3" type="noConversion"/>
  </si>
  <si>
    <t xml:space="preserve"> * 셀클릭 후 꼭짓점을 끌어 자동채우기 하시면 값 자동 입력 됩니다</t>
    <phoneticPr fontId="3" type="noConversion"/>
  </si>
  <si>
    <t xml:space="preserve"> ← 입력 X (자동출력)</t>
    <phoneticPr fontId="3" type="noConversion"/>
  </si>
  <si>
    <t>보험사</t>
    <phoneticPr fontId="3" type="noConversion"/>
  </si>
  <si>
    <t xml:space="preserve"> ← 보험사 입력</t>
    <phoneticPr fontId="3" type="noConversion"/>
  </si>
  <si>
    <t>보험료</t>
    <phoneticPr fontId="3" type="noConversion"/>
  </si>
  <si>
    <t>비고</t>
    <phoneticPr fontId="3" type="noConversion"/>
  </si>
  <si>
    <t>배우자</t>
    <phoneticPr fontId="3" type="noConversion"/>
  </si>
  <si>
    <t>자녀</t>
    <phoneticPr fontId="3" type="noConversion"/>
  </si>
  <si>
    <t>부</t>
    <phoneticPr fontId="3" type="noConversion"/>
  </si>
  <si>
    <t>모</t>
    <phoneticPr fontId="3" type="noConversion"/>
  </si>
  <si>
    <t>고객님 가족 보험 현황</t>
    <phoneticPr fontId="3" type="noConversion"/>
  </si>
  <si>
    <t>상담 만족도 조사</t>
    <phoneticPr fontId="3" type="noConversion"/>
  </si>
  <si>
    <t>관계</t>
    <phoneticPr fontId="3" type="noConversion"/>
  </si>
  <si>
    <t>성함</t>
    <phoneticPr fontId="3" type="noConversion"/>
  </si>
  <si>
    <t>메모</t>
    <phoneticPr fontId="3" type="noConversion"/>
  </si>
  <si>
    <t>만족</t>
    <phoneticPr fontId="3" type="noConversion"/>
  </si>
  <si>
    <t>보통</t>
    <phoneticPr fontId="3" type="noConversion"/>
  </si>
  <si>
    <t>불만족</t>
    <phoneticPr fontId="3" type="noConversion"/>
  </si>
  <si>
    <t>질문</t>
    <phoneticPr fontId="3" type="noConversion"/>
  </si>
  <si>
    <t xml:space="preserve">  1. 상담내용은 이해하기 쉬웠나요?</t>
    <phoneticPr fontId="3" type="noConversion"/>
  </si>
  <si>
    <t xml:space="preserve">  2. 현재 보장상태를 파악하는데 도움이 되었나요?</t>
    <phoneticPr fontId="3" type="noConversion"/>
  </si>
  <si>
    <t xml:space="preserve">  3. 나의 상황에 맞는 맞춤 보장설계가 이루어졌나요?</t>
    <phoneticPr fontId="3" type="noConversion"/>
  </si>
  <si>
    <t xml:space="preserve">  3. 제안 내용에 대해 신뢰가 가셨나요?</t>
    <phoneticPr fontId="3" type="noConversion"/>
  </si>
  <si>
    <t>- 상담 중 가장 도움이 되었던 부분은 무엇인가요?</t>
    <phoneticPr fontId="3" type="noConversion"/>
  </si>
  <si>
    <t>- 추가로 궁금하신 점이나 필요한 보장이 있나요?</t>
    <phoneticPr fontId="3" type="noConversion"/>
  </si>
  <si>
    <t xml:space="preserve">  5. 주변에 소개하고 싶은 상담이라고 느끼셨나요?</t>
    <phoneticPr fontId="3" type="noConversion"/>
  </si>
  <si>
    <t>★ 본 자료는 보험나무 구독자들에게만 제공되는 자료로 외부배포 및 무단 공유는 금지입니다</t>
    <phoneticPr fontId="3" type="noConversion"/>
  </si>
  <si>
    <t>문의/건의사항 연락주세요 !</t>
    <phoneticPr fontId="3" type="noConversion"/>
  </si>
  <si>
    <t>카카오톡</t>
    <phoneticPr fontId="3" type="noConversion"/>
  </si>
  <si>
    <t>인스타그램</t>
    <phoneticPr fontId="3" type="noConversion"/>
  </si>
  <si>
    <t>블로그</t>
    <phoneticPr fontId="3" type="noConversion"/>
  </si>
  <si>
    <t>유튜브</t>
    <phoneticPr fontId="3" type="noConversion"/>
  </si>
  <si>
    <t>★ 고객 초회상담과 보장분석, 비교제안, 소개요청 자료로 활용하시길 바랍니다 !</t>
    <phoneticPr fontId="3" type="noConversion"/>
  </si>
  <si>
    <t>단축키 모음</t>
    <phoneticPr fontId="3" type="noConversion"/>
  </si>
  <si>
    <t>Ctrl</t>
    <phoneticPr fontId="3" type="noConversion"/>
  </si>
  <si>
    <t>Shift</t>
    <phoneticPr fontId="3" type="noConversion"/>
  </si>
  <si>
    <t>Alt</t>
    <phoneticPr fontId="3" type="noConversion"/>
  </si>
  <si>
    <t>단축키</t>
    <phoneticPr fontId="3" type="noConversion"/>
  </si>
  <si>
    <t>기능</t>
    <phoneticPr fontId="3" type="noConversion"/>
  </si>
  <si>
    <t>Ctrl + A</t>
  </si>
  <si>
    <t>전체 선택</t>
  </si>
  <si>
    <t>Shift + Space</t>
    <phoneticPr fontId="3" type="noConversion"/>
  </si>
  <si>
    <t>행 전체 선택</t>
  </si>
  <si>
    <t>Alt + D</t>
    <phoneticPr fontId="3" type="noConversion"/>
  </si>
  <si>
    <t>데이터 메뉴</t>
  </si>
  <si>
    <t>Ctrl + B</t>
  </si>
  <si>
    <t>굵게</t>
  </si>
  <si>
    <t>Shift + Enter</t>
  </si>
  <si>
    <t>위 셀 이동</t>
  </si>
  <si>
    <t>Alt + E</t>
  </si>
  <si>
    <t>편집 메뉴</t>
  </si>
  <si>
    <t>Ctrl + C</t>
  </si>
  <si>
    <t>복사</t>
  </si>
  <si>
    <t>Shift + Tab</t>
  </si>
  <si>
    <t>이전 셀</t>
  </si>
  <si>
    <t>Alt + F</t>
  </si>
  <si>
    <t>파일 메뉴</t>
  </si>
  <si>
    <t>Ctrl + D</t>
  </si>
  <si>
    <t>아래로 채우기</t>
  </si>
  <si>
    <t>Shift + F1</t>
  </si>
  <si>
    <t>도움말</t>
  </si>
  <si>
    <t>Alt + H</t>
  </si>
  <si>
    <t>도움말 메뉴</t>
  </si>
  <si>
    <t>Ctrl + E</t>
  </si>
  <si>
    <t>빠른 채우기</t>
  </si>
  <si>
    <t>Shift + F2</t>
  </si>
  <si>
    <t>메모 편집</t>
  </si>
  <si>
    <t>Alt + I</t>
  </si>
  <si>
    <t>삽입 메뉴</t>
  </si>
  <si>
    <t>Ctrl + F</t>
  </si>
  <si>
    <t>찾기</t>
  </si>
  <si>
    <t>Shift + F3</t>
  </si>
  <si>
    <t>함수 삽입</t>
  </si>
  <si>
    <t>Alt + O</t>
  </si>
  <si>
    <t>서식 메뉴</t>
  </si>
  <si>
    <t>Ctrl + G</t>
  </si>
  <si>
    <t>이동</t>
  </si>
  <si>
    <t>Shift + F4</t>
  </si>
  <si>
    <t>다음 찾기</t>
  </si>
  <si>
    <t>Alt + T</t>
  </si>
  <si>
    <t>도구 메뉴</t>
  </si>
  <si>
    <t>Ctrl + H</t>
  </si>
  <si>
    <t>바꾸기</t>
  </si>
  <si>
    <t>Shift + F8</t>
  </si>
  <si>
    <t>추가 선택</t>
  </si>
  <si>
    <t>Alt + W</t>
  </si>
  <si>
    <t>창 메뉴</t>
  </si>
  <si>
    <t>Ctrl + I</t>
  </si>
  <si>
    <t>기울임</t>
  </si>
  <si>
    <t>Shift + F9</t>
  </si>
  <si>
    <t>시트 재계산</t>
  </si>
  <si>
    <t>Alt + Enter</t>
  </si>
  <si>
    <t>셀 줄바꿈</t>
  </si>
  <si>
    <t>Ctrl + K</t>
  </si>
  <si>
    <t>하이퍼링크 삽입</t>
  </si>
  <si>
    <t>Shift + F10</t>
  </si>
  <si>
    <t>바로가기 메뉴</t>
  </si>
  <si>
    <t>Alt + =</t>
  </si>
  <si>
    <t>자동 합계</t>
  </si>
  <si>
    <t>Ctrl + N</t>
  </si>
  <si>
    <t>새 통합문서</t>
  </si>
  <si>
    <t>Shift + F11</t>
  </si>
  <si>
    <t>새 시트</t>
  </si>
  <si>
    <t>Alt + ;</t>
  </si>
  <si>
    <t>보이는 셀만 선택</t>
  </si>
  <si>
    <t>Ctrl + O</t>
  </si>
  <si>
    <t>통합문서 열기</t>
  </si>
  <si>
    <t>Shift + Home</t>
  </si>
  <si>
    <t>처음까지 선택</t>
  </si>
  <si>
    <t>Alt + ↓</t>
  </si>
  <si>
    <t>드롭다운 열기</t>
  </si>
  <si>
    <t>Ctrl + P</t>
  </si>
  <si>
    <t>인쇄</t>
  </si>
  <si>
    <t>Shift + End</t>
  </si>
  <si>
    <t>끝까지 선택</t>
  </si>
  <si>
    <t>Alt + ↑</t>
  </si>
  <si>
    <t>드롭다운 닫기</t>
  </si>
  <si>
    <t>Ctrl + R</t>
  </si>
  <si>
    <t>오른쪽 채우기</t>
  </si>
  <si>
    <t>Shift + 방향키</t>
  </si>
  <si>
    <t>데이터 선택</t>
  </si>
  <si>
    <t>Alt + F1</t>
  </si>
  <si>
    <t>차트 삽입</t>
  </si>
  <si>
    <t>Ctrl + S</t>
  </si>
  <si>
    <t>저장</t>
  </si>
  <si>
    <t>Ctrl + Shift + +</t>
  </si>
  <si>
    <t>행/열 삽입</t>
  </si>
  <si>
    <t>Alt + F4</t>
  </si>
  <si>
    <t>엑셀 종료</t>
  </si>
  <si>
    <t>Ctrl + T</t>
  </si>
  <si>
    <t>표 만들기</t>
  </si>
  <si>
    <t>Ctrl + Shift + -</t>
  </si>
  <si>
    <t>행/열 삭제</t>
  </si>
  <si>
    <t>Alt + F11</t>
  </si>
  <si>
    <t>VBA 편집기</t>
  </si>
  <si>
    <t>Ctrl + U</t>
  </si>
  <si>
    <t>밑줄</t>
  </si>
  <si>
    <t>Ctrl + Shift + &amp;</t>
  </si>
  <si>
    <t>테두리 적용</t>
  </si>
  <si>
    <t>Ctrl + Alt + V</t>
  </si>
  <si>
    <t>선택하여 붙여넣기</t>
  </si>
  <si>
    <t>Ctrl + V</t>
  </si>
  <si>
    <t>붙여넣기</t>
  </si>
  <si>
    <t>Ctrl + Shift + _</t>
  </si>
  <si>
    <t>테두리 제거</t>
  </si>
  <si>
    <t>Ctrl + Alt + F1</t>
  </si>
  <si>
    <t>Ctrl + W</t>
  </si>
  <si>
    <t>창 닫기</t>
  </si>
  <si>
    <t>Ctrl + Shift + !</t>
  </si>
  <si>
    <t>숫자 서식</t>
  </si>
  <si>
    <t>Ctrl + Alt + F5</t>
  </si>
  <si>
    <t>피벗 새로고침</t>
  </si>
  <si>
    <t>Ctrl + X</t>
  </si>
  <si>
    <t>잘라내기</t>
  </si>
  <si>
    <t>Ctrl + Shift + @</t>
  </si>
  <si>
    <t>시간 서식</t>
  </si>
  <si>
    <t>Ctrl + Y</t>
  </si>
  <si>
    <t>다시 실행</t>
  </si>
  <si>
    <t>Ctrl + Shift + #</t>
  </si>
  <si>
    <t>날짜 서식</t>
  </si>
  <si>
    <t>Ctrl + Z</t>
  </si>
  <si>
    <t>실행 취소</t>
  </si>
  <si>
    <t>Ctrl + Shift + $</t>
  </si>
  <si>
    <t>통화 서식</t>
  </si>
  <si>
    <t>Ctrl + 1</t>
  </si>
  <si>
    <t>셀 서식</t>
  </si>
  <si>
    <t>Ctrl + Shift + %</t>
  </si>
  <si>
    <t>백분율 서식</t>
  </si>
  <si>
    <t>Ctrl + 5</t>
  </si>
  <si>
    <t>취소선</t>
  </si>
  <si>
    <t>Ctrl + Shift + ^</t>
  </si>
  <si>
    <t>지수 서식</t>
  </si>
  <si>
    <t>Ctrl + 0</t>
  </si>
  <si>
    <t>열 숨기기</t>
  </si>
  <si>
    <t>Ctrl + Shift + ~</t>
  </si>
  <si>
    <t>일반 서식</t>
  </si>
  <si>
    <t>Ctrl + 9</t>
  </si>
  <si>
    <t>행 숨기기</t>
  </si>
  <si>
    <t>Ctrl + Shift + (</t>
  </si>
  <si>
    <t>숨김 행 표시</t>
  </si>
  <si>
    <t>Ctrl + `</t>
  </si>
  <si>
    <t>수식 표시 전환</t>
  </si>
  <si>
    <t>Ctrl + Shift + )</t>
  </si>
  <si>
    <t>숨김 열 표시</t>
  </si>
  <si>
    <t>Ctrl + F1</t>
    <phoneticPr fontId="3" type="noConversion"/>
  </si>
  <si>
    <t>리본 메뉴 표시/숨기기</t>
  </si>
  <si>
    <t>Ctrl + Shift + :</t>
  </si>
  <si>
    <t>현재 시간 입력</t>
  </si>
  <si>
    <t>Ctrl + F2</t>
  </si>
  <si>
    <t>인쇄 미리보기</t>
  </si>
  <si>
    <t>Ctrl + Shift + Space</t>
  </si>
  <si>
    <t>전체 시트 선택</t>
  </si>
  <si>
    <t>Ctrl + F3</t>
  </si>
  <si>
    <t>이름 관리자</t>
  </si>
  <si>
    <t>Ctrl + Shift + 방향키</t>
  </si>
  <si>
    <t>데이터 끝까지 선택</t>
  </si>
  <si>
    <t>Ctrl + F4</t>
  </si>
  <si>
    <t>현재 창 닫기</t>
  </si>
  <si>
    <t>Ctrl + Shift + P</t>
  </si>
  <si>
    <t>글꼴 크기 변경</t>
  </si>
  <si>
    <t>Ctrl + F5</t>
  </si>
  <si>
    <t>창 복원</t>
  </si>
  <si>
    <t>Ctrl + Shift + Tab</t>
  </si>
  <si>
    <t>대화상자 이전 탭으로 전환</t>
  </si>
  <si>
    <t>Ctrl + F6</t>
  </si>
  <si>
    <t>다음 통합문서</t>
  </si>
  <si>
    <t>Ctrl + Shift + F6</t>
  </si>
  <si>
    <t>이전 통합문서로 이동</t>
  </si>
  <si>
    <t>Ctrl + F9</t>
  </si>
  <si>
    <t>전체 다시 계산</t>
  </si>
  <si>
    <t>Ctrl + F10</t>
  </si>
  <si>
    <t>창 최대/복원</t>
  </si>
  <si>
    <t>Ctrl + F11</t>
  </si>
  <si>
    <t>차트 시트</t>
  </si>
  <si>
    <t>Ctrl + F12</t>
  </si>
  <si>
    <t>다른 이름으로 저장</t>
  </si>
  <si>
    <t>Ctrl + →</t>
  </si>
  <si>
    <t>오른쪽 한 단어 이동</t>
  </si>
  <si>
    <t>Ctrl + ←</t>
  </si>
  <si>
    <t>왼쪽 한 단어 이동</t>
  </si>
  <si>
    <t>Ctrl + ↓</t>
  </si>
  <si>
    <t>아래 한 단락 이동</t>
  </si>
  <si>
    <t>Ctrl + ↑</t>
  </si>
  <si>
    <t>위로 한 단락 이동</t>
  </si>
  <si>
    <t>Ctrl + Home</t>
  </si>
  <si>
    <t>처음으로 이동</t>
  </si>
  <si>
    <t>Ctrl + End</t>
  </si>
  <si>
    <t>마지막으로 이동</t>
  </si>
  <si>
    <t>Ctrl + Page Up</t>
  </si>
  <si>
    <t>이전 시트</t>
  </si>
  <si>
    <t>Ctrl + Page Down</t>
  </si>
  <si>
    <t>다음 시트</t>
  </si>
  <si>
    <t>Ctrl + Backspace</t>
  </si>
  <si>
    <t>활성 셀 화면 중앙</t>
  </si>
  <si>
    <t>Ctrl + Space</t>
  </si>
  <si>
    <t>열 전체 선택</t>
  </si>
  <si>
    <t>Ctrl + Enter</t>
  </si>
  <si>
    <t>선택 범위 입력</t>
  </si>
  <si>
    <t>Ctrl + Tab</t>
  </si>
  <si>
    <t>다음 창으로 전환</t>
  </si>
  <si>
    <t>★ 수식입력란은 수정하시면 값 자동추출이 모두 망가집니다</t>
    <phoneticPr fontId="3" type="noConversion"/>
  </si>
  <si>
    <t>★ ★ ★ 각 시트마다 설명 적어두었습니다 (메모는 삭제하고 사용하시면 됩니다)</t>
    <phoneticPr fontId="3" type="noConversion"/>
  </si>
  <si>
    <t>★ 설치된 엑셀 버전이 다르면 오류가 생길 수 있습니다 (저는 2016)</t>
    <phoneticPr fontId="3" type="noConversion"/>
  </si>
  <si>
    <t>고객님 담보별 가입금액</t>
    <phoneticPr fontId="3" type="noConversion"/>
  </si>
  <si>
    <t>치매/ 간병</t>
    <phoneticPr fontId="3" type="noConversion"/>
  </si>
  <si>
    <t>골절 / 화상</t>
    <phoneticPr fontId="3" type="noConversion"/>
  </si>
  <si>
    <t>실손의료비</t>
    <phoneticPr fontId="3" type="noConversion"/>
  </si>
  <si>
    <t>고객님의 월 납입 보험료</t>
    <phoneticPr fontId="3" type="noConversion"/>
  </si>
  <si>
    <t>총 납입 예정 보험료</t>
    <phoneticPr fontId="3" type="noConversion"/>
  </si>
  <si>
    <t>★ ★ ★ 고객상담일지에 이름 입력하면 전체 시트 이름 변경됩니다</t>
    <phoneticPr fontId="3" type="noConversion"/>
  </si>
  <si>
    <t>아래 납입 예정 지우지마세요</t>
    <phoneticPr fontId="3" type="noConversion"/>
  </si>
  <si>
    <t>홍길동</t>
    <phoneticPr fontId="3" type="noConversion"/>
  </si>
  <si>
    <t xml:space="preserve"> 고객님 운전자보험 비교제안서</t>
    <phoneticPr fontId="3" type="noConversion"/>
  </si>
  <si>
    <r>
      <rPr>
        <b/>
        <sz val="11"/>
        <color theme="1"/>
        <rFont val="Segoe UI Symbol"/>
        <family val="3"/>
      </rPr>
      <t xml:space="preserve">⭐ </t>
    </r>
    <r>
      <rPr>
        <b/>
        <sz val="11"/>
        <color theme="1"/>
        <rFont val="맑은 고딕"/>
        <family val="3"/>
        <charset val="129"/>
      </rPr>
      <t>상담 만족도 평가</t>
    </r>
    <phoneticPr fontId="3" type="noConversion"/>
  </si>
  <si>
    <r>
      <rPr>
        <b/>
        <sz val="11"/>
        <color theme="1"/>
        <rFont val="Segoe UI Symbol"/>
        <family val="3"/>
      </rPr>
      <t xml:space="preserve">⭐ </t>
    </r>
    <r>
      <rPr>
        <b/>
        <sz val="11"/>
        <color theme="1"/>
        <rFont val="맑은 고딕"/>
        <family val="3"/>
        <charset val="129"/>
        <scheme val="minor"/>
      </rPr>
      <t>자유로운 의견을 남겨 주세요 !</t>
    </r>
    <phoneticPr fontId="3" type="noConversion"/>
  </si>
  <si>
    <r>
      <rPr>
        <b/>
        <sz val="11"/>
        <color theme="1"/>
        <rFont val="Segoe UI Symbol"/>
        <family val="3"/>
      </rPr>
      <t xml:space="preserve">⭐ </t>
    </r>
    <r>
      <rPr>
        <b/>
        <sz val="11"/>
        <color theme="1"/>
        <rFont val="맑은 고딕"/>
        <family val="3"/>
        <charset val="129"/>
      </rPr>
      <t>소중한 지인 추천</t>
    </r>
    <phoneticPr fontId="3" type="noConversion"/>
  </si>
  <si>
    <t xml:space="preserve">  상담에 만족하셨다면 주변의 소중한 분에게도 보험 점검의 기회를 선물해 주세요 !</t>
    <phoneticPr fontId="3" type="noConversion"/>
  </si>
  <si>
    <t>새로고침100세</t>
    <phoneticPr fontId="3" type="noConversion"/>
  </si>
  <si>
    <t>리모델링 후</t>
    <phoneticPr fontId="3" type="noConversion"/>
  </si>
  <si>
    <t>현재</t>
    <phoneticPr fontId="3" type="noConversion"/>
  </si>
  <si>
    <t xml:space="preserve"> 고객님 리모델링 비교제안서</t>
    <phoneticPr fontId="3" type="noConversion"/>
  </si>
  <si>
    <t>직접입력</t>
    <phoneticPr fontId="3" type="noConversion"/>
  </si>
  <si>
    <t>앞으로 납부해야 할 총 보험료</t>
    <phoneticPr fontId="3" type="noConversion"/>
  </si>
  <si>
    <t>리모델링 후(보장)'!Print_Area</t>
  </si>
  <si>
    <t>보장분석!Print_Area</t>
  </si>
  <si>
    <r>
      <rPr>
        <b/>
        <sz val="11"/>
        <color theme="1"/>
        <rFont val="Segoe UI Emoji"/>
        <family val="2"/>
      </rPr>
      <t>⬇️</t>
    </r>
    <r>
      <rPr>
        <b/>
        <sz val="11"/>
        <color theme="1"/>
        <rFont val="맑은 고딕"/>
        <family val="2"/>
        <charset val="129"/>
        <scheme val="minor"/>
      </rPr>
      <t xml:space="preserve"> 현재 보장 수정</t>
    </r>
    <phoneticPr fontId="3" type="noConversion"/>
  </si>
  <si>
    <r>
      <rPr>
        <b/>
        <sz val="11"/>
        <color theme="1"/>
        <rFont val="Segoe UI Emoji"/>
        <family val="2"/>
      </rPr>
      <t>⬇️</t>
    </r>
    <r>
      <rPr>
        <b/>
        <sz val="11"/>
        <color theme="1"/>
        <rFont val="맑은 고딕"/>
        <family val="2"/>
        <charset val="129"/>
        <scheme val="minor"/>
      </rPr>
      <t xml:space="preserve"> 리모델링 후 보장 수정</t>
    </r>
    <phoneticPr fontId="3" type="noConversion"/>
  </si>
  <si>
    <t>※ 리모델링 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</si>
</sst>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General&quot;년납&quot;"/>
    <numFmt numFmtId="177" formatCode="#,##0;[Red]#,##0"/>
    <numFmt numFmtId="178" formatCode="#,##0&quot;원&quot;"/>
    <numFmt numFmtId="179" formatCode="General&quot;만원&quot;"/>
    <numFmt numFmtId="180" formatCode="General&quot;억&quot;"/>
    <numFmt numFmtId="181" formatCode="#,##0&quot;만원&quot;"/>
    <numFmt numFmtId="182" formatCode="[&gt;9999]0&quot;억&quot;###0&quot;만원&quot;;###0&quot;만원&quot;"/>
    <numFmt numFmtId="183" formatCode="0##\-####\-####"/>
    <numFmt numFmtId="184" formatCode="######\-#######"/>
    <numFmt numFmtId="185" formatCode="#"/>
    <numFmt numFmtId="186" formatCode="General&quot;세&quot;"/>
    <numFmt numFmtId="187" formatCode="General&quot;년&quot;"/>
    <numFmt numFmtId="188" formatCode="[&gt;9999]0&quot;억&quot;#,##0&quot;만원&quot;;#,##0&quot;만원&quot;"/>
    <numFmt numFmtId="189" formatCode="[&gt;9999]0&quot;억&quot;###0&quot;만원&quot;;#,##0&quot;만원&quot;"/>
  </numFmts>
  <fonts count="6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68B0A"/>
      <name val="맑은 고딕"/>
      <family val="3"/>
      <charset val="129"/>
      <scheme val="minor"/>
    </font>
    <font>
      <b/>
      <sz val="11"/>
      <color rgb="FFF68B0A"/>
      <name val="나눔바른펜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1"/>
      <color theme="1"/>
      <name val="나눔바른펜"/>
      <family val="3"/>
      <charset val="129"/>
    </font>
    <font>
      <b/>
      <sz val="10"/>
      <color rgb="FFED8609"/>
      <name val="맑은 고딕"/>
      <family val="3"/>
      <charset val="129"/>
      <scheme val="minor"/>
    </font>
    <font>
      <sz val="10"/>
      <color rgb="FFED8609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43"/>
      <color rgb="FFFF941F"/>
      <name val="맑은 고딕"/>
      <family val="3"/>
      <charset val="129"/>
      <scheme val="major"/>
    </font>
    <font>
      <b/>
      <sz val="30"/>
      <color theme="1"/>
      <name val="맑은 고딕"/>
      <family val="3"/>
      <charset val="129"/>
      <scheme val="major"/>
    </font>
    <font>
      <sz val="20"/>
      <color theme="1" tint="0.14999847407452621"/>
      <name val="HY헤드라인M"/>
      <family val="1"/>
      <charset val="129"/>
    </font>
    <font>
      <sz val="12"/>
      <color theme="1"/>
      <name val="HY그래픽M"/>
      <family val="1"/>
      <charset val="129"/>
    </font>
    <font>
      <b/>
      <sz val="30"/>
      <color theme="1" tint="0.14999847407452621"/>
      <name val="HY헤드라인M"/>
      <family val="1"/>
      <charset val="129"/>
    </font>
    <font>
      <b/>
      <sz val="12"/>
      <color theme="0" tint="-0.499984740745262"/>
      <name val="맑은 고딕"/>
      <family val="3"/>
      <charset val="129"/>
      <scheme val="minor"/>
    </font>
    <font>
      <sz val="14"/>
      <color theme="0"/>
      <name val="HY견고딕"/>
      <family val="1"/>
      <charset val="129"/>
    </font>
    <font>
      <b/>
      <sz val="11"/>
      <color theme="1"/>
      <name val="Segoe UI Symbol"/>
      <family val="3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b/>
      <sz val="11"/>
      <color theme="1"/>
      <name val="Segoe UI Symbol"/>
      <family val="2"/>
    </font>
    <font>
      <b/>
      <sz val="11"/>
      <color rgb="FFFF0000"/>
      <name val="Calibri"/>
      <family val="2"/>
    </font>
    <font>
      <b/>
      <sz val="11"/>
      <color rgb="FFFF0000"/>
      <name val="맑은 고딕"/>
      <family val="2"/>
      <charset val="129"/>
      <scheme val="minor"/>
    </font>
    <font>
      <b/>
      <sz val="11"/>
      <color theme="1"/>
      <name val="Calibri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b/>
      <sz val="22"/>
      <color theme="1" tint="0.14999847407452621"/>
      <name val="맑은 고딕"/>
      <family val="3"/>
      <charset val="129"/>
      <scheme val="minor"/>
    </font>
    <font>
      <b/>
      <sz val="14"/>
      <color theme="1" tint="0.1499984740745262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8"/>
      <color rgb="FFFF941F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rgb="FFFF941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b/>
      <sz val="12"/>
      <color theme="1" tint="4.9989318521683403E-2"/>
      <name val="맑은 고딕"/>
      <family val="3"/>
      <charset val="129"/>
      <scheme val="minor"/>
    </font>
    <font>
      <b/>
      <sz val="20"/>
      <color rgb="FFFF941F"/>
      <name val="맑은 고딕"/>
      <family val="3"/>
      <charset val="129"/>
      <scheme val="minor"/>
    </font>
    <font>
      <b/>
      <u/>
      <sz val="11"/>
      <color theme="10"/>
      <name val="맑은 고딕"/>
      <family val="3"/>
      <charset val="129"/>
      <scheme val="minor"/>
    </font>
    <font>
      <b/>
      <sz val="11"/>
      <color theme="1"/>
      <name val="Segoe UI Emoj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FFC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941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F37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34998626667073579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thin">
        <color theme="1" tint="0.499984740745262"/>
      </right>
      <top style="dotted">
        <color theme="0" tint="-0.34998626667073579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dotted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dotted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499984740745262"/>
      </right>
      <top/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tted">
        <color theme="0" tint="-0.34998626667073579"/>
      </bottom>
      <diagonal/>
    </border>
    <border>
      <left style="thin">
        <color theme="0" tint="-0.499984740745262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499984740745262"/>
      </left>
      <right/>
      <top style="dotted">
        <color theme="0" tint="-0.34998626667073579"/>
      </top>
      <bottom style="thin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34998626667073579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dotted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499984740745262"/>
      </right>
      <top style="dotted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dotted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0" tint="-0.34998626667073579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dotted">
        <color theme="0" tint="-0.34998626667073579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dotted">
        <color theme="0" tint="-0.34998626667073579"/>
      </bottom>
      <diagonal/>
    </border>
    <border>
      <left/>
      <right style="thin">
        <color theme="1" tint="0.499984740745262"/>
      </right>
      <top style="thin">
        <color theme="1" tint="0.34998626667073579"/>
      </top>
      <bottom style="dotted">
        <color theme="0" tint="-0.34998626667073579"/>
      </bottom>
      <diagonal/>
    </border>
    <border>
      <left style="thin">
        <color theme="0" tint="-0.499984740745262"/>
      </left>
      <right/>
      <top style="dotted">
        <color theme="0" tint="-0.34998626667073579"/>
      </top>
      <bottom style="thin">
        <color theme="1" tint="0.499984740745262"/>
      </bottom>
      <diagonal/>
    </border>
    <border>
      <left/>
      <right/>
      <top/>
      <bottom style="double">
        <color theme="0"/>
      </bottom>
      <diagonal/>
    </border>
    <border>
      <left/>
      <right/>
      <top/>
      <bottom style="medium">
        <color rgb="FFFF941F"/>
      </bottom>
      <diagonal/>
    </border>
    <border>
      <left/>
      <right/>
      <top style="medium">
        <color rgb="FFFF941F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499984740745262"/>
      </top>
      <bottom style="thin">
        <color theme="1" tint="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thick">
        <color theme="0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theme="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/>
      </bottom>
      <diagonal/>
    </border>
    <border>
      <left style="thin">
        <color theme="0" tint="-0.499984740745262"/>
      </left>
      <right/>
      <top style="thick">
        <color theme="0"/>
      </top>
      <bottom style="thick">
        <color theme="0"/>
      </bottom>
      <diagonal/>
    </border>
    <border>
      <left style="thin">
        <color theme="0" tint="-0.499984740745262"/>
      </left>
      <right/>
      <top style="thick">
        <color theme="0"/>
      </top>
      <bottom style="thin">
        <color theme="0" tint="-0.499984740745262"/>
      </bottom>
      <diagonal/>
    </border>
    <border>
      <left style="double">
        <color rgb="FFFFAD53"/>
      </left>
      <right/>
      <top style="double">
        <color rgb="FFFFAD53"/>
      </top>
      <bottom/>
      <diagonal/>
    </border>
    <border>
      <left/>
      <right/>
      <top style="double">
        <color rgb="FFFFAD53"/>
      </top>
      <bottom/>
      <diagonal/>
    </border>
    <border>
      <left/>
      <right style="double">
        <color rgb="FFFFAD53"/>
      </right>
      <top style="double">
        <color rgb="FFFFAD53"/>
      </top>
      <bottom/>
      <diagonal/>
    </border>
    <border>
      <left style="double">
        <color rgb="FFFFAD53"/>
      </left>
      <right/>
      <top/>
      <bottom/>
      <diagonal/>
    </border>
    <border>
      <left/>
      <right style="double">
        <color rgb="FFFFAD53"/>
      </right>
      <top/>
      <bottom/>
      <diagonal/>
    </border>
    <border>
      <left style="double">
        <color rgb="FFFFAD53"/>
      </left>
      <right/>
      <top/>
      <bottom style="double">
        <color rgb="FFFFAD53"/>
      </bottom>
      <diagonal/>
    </border>
    <border>
      <left/>
      <right/>
      <top/>
      <bottom style="double">
        <color rgb="FFFFAD53"/>
      </bottom>
      <diagonal/>
    </border>
    <border>
      <left/>
      <right style="double">
        <color rgb="FFFFAD53"/>
      </right>
      <top/>
      <bottom style="double">
        <color rgb="FFFFAD53"/>
      </bottom>
      <diagonal/>
    </border>
    <border>
      <left style="medium">
        <color rgb="FFFFAD53"/>
      </left>
      <right/>
      <top style="medium">
        <color rgb="FFFFAD53"/>
      </top>
      <bottom/>
      <diagonal/>
    </border>
    <border>
      <left/>
      <right/>
      <top style="medium">
        <color rgb="FFFFAD53"/>
      </top>
      <bottom/>
      <diagonal/>
    </border>
    <border>
      <left/>
      <right style="medium">
        <color rgb="FFFFAD53"/>
      </right>
      <top style="medium">
        <color rgb="FFFFAD53"/>
      </top>
      <bottom/>
      <diagonal/>
    </border>
    <border>
      <left style="medium">
        <color rgb="FFFFAD53"/>
      </left>
      <right/>
      <top/>
      <bottom/>
      <diagonal/>
    </border>
    <border>
      <left/>
      <right style="medium">
        <color rgb="FFFFAD53"/>
      </right>
      <top/>
      <bottom/>
      <diagonal/>
    </border>
    <border>
      <left style="medium">
        <color rgb="FFFFAD53"/>
      </left>
      <right/>
      <top/>
      <bottom style="medium">
        <color rgb="FFFFAD53"/>
      </bottom>
      <diagonal/>
    </border>
    <border>
      <left/>
      <right/>
      <top/>
      <bottom style="medium">
        <color rgb="FFFFAD53"/>
      </bottom>
      <diagonal/>
    </border>
    <border>
      <left/>
      <right style="medium">
        <color rgb="FFFFAD53"/>
      </right>
      <top/>
      <bottom style="medium">
        <color rgb="FFFFAD53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499984740745262"/>
      </right>
      <top style="thin">
        <color theme="0" tint="-0.24994659260841701"/>
      </top>
      <bottom/>
      <diagonal/>
    </border>
    <border>
      <left/>
      <right style="hair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24994659260841701"/>
      </top>
      <bottom/>
      <diagonal/>
    </border>
    <border>
      <left style="hair">
        <color theme="0" tint="-0.499984740745262"/>
      </left>
      <right/>
      <top style="thin">
        <color theme="0" tint="-0.24994659260841701"/>
      </top>
      <bottom/>
      <diagonal/>
    </border>
    <border>
      <left/>
      <right style="hair">
        <color theme="0" tint="-0.499984740745262"/>
      </right>
      <top/>
      <bottom style="thin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24994659260841701"/>
      </bottom>
      <diagonal/>
    </border>
    <border>
      <left style="hair">
        <color theme="0" tint="-0.499984740745262"/>
      </left>
      <right/>
      <top/>
      <bottom style="thin">
        <color theme="0" tint="-0.24994659260841701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78" fontId="7" fillId="0" borderId="5" xfId="0" applyNumberFormat="1" applyFont="1" applyBorder="1" applyAlignment="1">
      <alignment horizontal="center" vertical="center"/>
    </xf>
    <xf numFmtId="179" fontId="7" fillId="0" borderId="5" xfId="0" applyNumberFormat="1" applyFont="1" applyBorder="1" applyAlignment="1">
      <alignment horizontal="center" vertical="center"/>
    </xf>
    <xf numFmtId="179" fontId="7" fillId="0" borderId="29" xfId="0" applyNumberFormat="1" applyFont="1" applyBorder="1" applyAlignment="1">
      <alignment horizontal="center" vertical="center"/>
    </xf>
    <xf numFmtId="179" fontId="7" fillId="0" borderId="30" xfId="0" applyNumberFormat="1" applyFont="1" applyBorder="1" applyAlignment="1">
      <alignment horizontal="center" vertical="center"/>
    </xf>
    <xf numFmtId="179" fontId="7" fillId="0" borderId="3" xfId="0" applyNumberFormat="1" applyFont="1" applyBorder="1" applyAlignment="1">
      <alignment horizontal="center" vertical="center"/>
    </xf>
    <xf numFmtId="179" fontId="7" fillId="0" borderId="31" xfId="0" applyNumberFormat="1" applyFont="1" applyBorder="1" applyAlignment="1">
      <alignment horizontal="center" vertical="center"/>
    </xf>
    <xf numFmtId="179" fontId="7" fillId="0" borderId="26" xfId="0" applyNumberFormat="1" applyFont="1" applyBorder="1" applyAlignment="1">
      <alignment horizontal="center" vertical="center"/>
    </xf>
    <xf numFmtId="179" fontId="7" fillId="0" borderId="25" xfId="0" applyNumberFormat="1" applyFont="1" applyBorder="1" applyAlignment="1">
      <alignment horizontal="center" vertical="center"/>
    </xf>
    <xf numFmtId="180" fontId="7" fillId="0" borderId="10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wrapText="1" shrinkToFit="1"/>
    </xf>
    <xf numFmtId="177" fontId="20" fillId="0" borderId="0" xfId="0" applyNumberFormat="1" applyFont="1" applyAlignment="1">
      <alignment horizontal="center" vertical="center"/>
    </xf>
    <xf numFmtId="180" fontId="7" fillId="0" borderId="3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7" fillId="0" borderId="4" xfId="0" applyNumberFormat="1" applyFont="1" applyBorder="1" applyAlignment="1">
      <alignment horizontal="center" vertical="center"/>
    </xf>
    <xf numFmtId="179" fontId="7" fillId="0" borderId="12" xfId="0" applyNumberFormat="1" applyFont="1" applyBorder="1" applyAlignment="1">
      <alignment horizontal="center" vertical="center"/>
    </xf>
    <xf numFmtId="178" fontId="19" fillId="2" borderId="18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8" fontId="12" fillId="0" borderId="46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78" fontId="12" fillId="0" borderId="47" xfId="0" applyNumberFormat="1" applyFont="1" applyBorder="1" applyAlignment="1">
      <alignment horizontal="center" vertical="center"/>
    </xf>
    <xf numFmtId="178" fontId="21" fillId="0" borderId="5" xfId="0" applyNumberFormat="1" applyFont="1" applyBorder="1" applyAlignment="1">
      <alignment horizontal="center" vertical="center"/>
    </xf>
    <xf numFmtId="177" fontId="17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182" fontId="7" fillId="0" borderId="3" xfId="0" applyNumberFormat="1" applyFont="1" applyBorder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 wrapText="1" shrinkToFit="1"/>
    </xf>
    <xf numFmtId="0" fontId="19" fillId="6" borderId="17" xfId="0" applyFont="1" applyFill="1" applyBorder="1" applyAlignment="1">
      <alignment horizontal="center" vertical="center"/>
    </xf>
    <xf numFmtId="178" fontId="19" fillId="6" borderId="18" xfId="0" applyNumberFormat="1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54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8" fontId="31" fillId="0" borderId="47" xfId="0" applyNumberFormat="1" applyFont="1" applyBorder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1" fillId="0" borderId="0" xfId="0" quotePrefix="1" applyFont="1">
      <alignment vertical="center"/>
    </xf>
    <xf numFmtId="0" fontId="0" fillId="0" borderId="60" xfId="0" applyBorder="1">
      <alignment vertical="center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distributed" vertical="center"/>
    </xf>
    <xf numFmtId="0" fontId="0" fillId="4" borderId="23" xfId="0" applyFill="1" applyBorder="1" applyAlignment="1">
      <alignment horizontal="center" vertical="center"/>
    </xf>
    <xf numFmtId="0" fontId="11" fillId="0" borderId="0" xfId="0" quotePrefix="1" applyFont="1" applyAlignment="1">
      <alignment horizontal="left" vertical="center"/>
    </xf>
    <xf numFmtId="0" fontId="0" fillId="0" borderId="61" xfId="0" applyBorder="1">
      <alignment vertical="center"/>
    </xf>
    <xf numFmtId="0" fontId="0" fillId="0" borderId="60" xfId="0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4" borderId="62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4" fillId="0" borderId="0" xfId="0" applyFont="1">
      <alignment vertical="center"/>
    </xf>
    <xf numFmtId="0" fontId="44" fillId="4" borderId="0" xfId="0" applyFont="1" applyFill="1">
      <alignment vertical="center"/>
    </xf>
    <xf numFmtId="0" fontId="45" fillId="4" borderId="0" xfId="0" applyFont="1" applyFill="1" applyAlignment="1">
      <alignment horizontal="right"/>
    </xf>
    <xf numFmtId="185" fontId="0" fillId="0" borderId="0" xfId="0" applyNumberFormat="1" applyAlignment="1">
      <alignment horizontal="center" vertical="center"/>
    </xf>
    <xf numFmtId="185" fontId="0" fillId="5" borderId="0" xfId="0" applyNumberFormat="1" applyFill="1">
      <alignment vertical="center"/>
    </xf>
    <xf numFmtId="185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5" borderId="0" xfId="0" applyNumberFormat="1" applyFill="1">
      <alignment vertical="center"/>
    </xf>
    <xf numFmtId="3" fontId="0" fillId="0" borderId="0" xfId="0" applyNumberFormat="1" applyAlignment="1">
      <alignment horizontal="center" vertical="center"/>
    </xf>
    <xf numFmtId="0" fontId="0" fillId="5" borderId="0" xfId="0" applyFill="1">
      <alignment vertical="center"/>
    </xf>
    <xf numFmtId="178" fontId="14" fillId="5" borderId="0" xfId="0" applyNumberFormat="1" applyFont="1" applyFill="1">
      <alignment vertical="center"/>
    </xf>
    <xf numFmtId="185" fontId="16" fillId="5" borderId="0" xfId="0" applyNumberFormat="1" applyFont="1" applyFill="1" applyAlignment="1">
      <alignment horizontal="right"/>
    </xf>
    <xf numFmtId="185" fontId="16" fillId="5" borderId="0" xfId="0" applyNumberFormat="1" applyFont="1" applyFill="1" applyAlignment="1"/>
    <xf numFmtId="178" fontId="16" fillId="5" borderId="0" xfId="0" applyNumberFormat="1" applyFont="1" applyFill="1" applyAlignment="1">
      <alignment horizontal="left" vertical="center"/>
    </xf>
    <xf numFmtId="0" fontId="45" fillId="4" borderId="0" xfId="0" applyFont="1" applyFill="1" applyAlignment="1"/>
    <xf numFmtId="0" fontId="5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186" fontId="0" fillId="0" borderId="0" xfId="0" applyNumberFormat="1">
      <alignment vertical="center"/>
    </xf>
    <xf numFmtId="185" fontId="45" fillId="4" borderId="0" xfId="0" applyNumberFormat="1" applyFont="1" applyFill="1" applyAlignment="1"/>
    <xf numFmtId="0" fontId="46" fillId="4" borderId="0" xfId="0" applyFont="1" applyFill="1" applyAlignment="1"/>
    <xf numFmtId="0" fontId="0" fillId="0" borderId="77" xfId="0" applyBorder="1">
      <alignment vertical="center"/>
    </xf>
    <xf numFmtId="0" fontId="0" fillId="10" borderId="0" xfId="0" applyFill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40" fillId="10" borderId="35" xfId="0" applyFont="1" applyFill="1" applyBorder="1" applyAlignment="1">
      <alignment vertical="top"/>
    </xf>
    <xf numFmtId="0" fontId="40" fillId="10" borderId="33" xfId="0" applyFont="1" applyFill="1" applyBorder="1" applyAlignment="1">
      <alignment vertical="top"/>
    </xf>
    <xf numFmtId="186" fontId="40" fillId="10" borderId="33" xfId="0" applyNumberFormat="1" applyFont="1" applyFill="1" applyBorder="1" applyAlignment="1">
      <alignment vertical="top"/>
    </xf>
    <xf numFmtId="0" fontId="40" fillId="10" borderId="67" xfId="0" applyFont="1" applyFill="1" applyBorder="1" applyAlignment="1">
      <alignment vertical="top"/>
    </xf>
    <xf numFmtId="181" fontId="5" fillId="4" borderId="76" xfId="0" applyNumberFormat="1" applyFont="1" applyFill="1" applyBorder="1" applyAlignment="1">
      <alignment horizontal="right" vertical="center"/>
    </xf>
    <xf numFmtId="181" fontId="5" fillId="4" borderId="61" xfId="0" applyNumberFormat="1" applyFont="1" applyFill="1" applyBorder="1" applyAlignment="1">
      <alignment horizontal="right" vertical="center"/>
    </xf>
    <xf numFmtId="181" fontId="5" fillId="4" borderId="67" xfId="0" applyNumberFormat="1" applyFont="1" applyFill="1" applyBorder="1" applyAlignment="1">
      <alignment horizontal="right" vertical="center"/>
    </xf>
    <xf numFmtId="0" fontId="0" fillId="11" borderId="2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61" xfId="0" applyFill="1" applyBorder="1" applyAlignment="1">
      <alignment horizontal="center" vertical="center"/>
    </xf>
    <xf numFmtId="0" fontId="40" fillId="11" borderId="35" xfId="0" applyFont="1" applyFill="1" applyBorder="1" applyAlignment="1">
      <alignment vertical="top"/>
    </xf>
    <xf numFmtId="0" fontId="40" fillId="11" borderId="33" xfId="0" applyFont="1" applyFill="1" applyBorder="1" applyAlignment="1">
      <alignment vertical="top"/>
    </xf>
    <xf numFmtId="186" fontId="40" fillId="11" borderId="33" xfId="0" applyNumberFormat="1" applyFont="1" applyFill="1" applyBorder="1" applyAlignment="1">
      <alignment vertical="top"/>
    </xf>
    <xf numFmtId="0" fontId="40" fillId="11" borderId="67" xfId="0" applyFont="1" applyFill="1" applyBorder="1" applyAlignment="1">
      <alignment vertical="top"/>
    </xf>
    <xf numFmtId="0" fontId="5" fillId="4" borderId="76" xfId="0" applyFont="1" applyFill="1" applyBorder="1">
      <alignment vertical="center"/>
    </xf>
    <xf numFmtId="0" fontId="5" fillId="4" borderId="61" xfId="0" applyFont="1" applyFill="1" applyBorder="1">
      <alignment vertical="center"/>
    </xf>
    <xf numFmtId="0" fontId="5" fillId="4" borderId="67" xfId="0" applyFont="1" applyFill="1" applyBorder="1">
      <alignment vertical="center"/>
    </xf>
    <xf numFmtId="0" fontId="10" fillId="4" borderId="76" xfId="0" applyFont="1" applyFill="1" applyBorder="1">
      <alignment vertical="center"/>
    </xf>
    <xf numFmtId="0" fontId="10" fillId="4" borderId="61" xfId="0" applyFont="1" applyFill="1" applyBorder="1">
      <alignment vertical="center"/>
    </xf>
    <xf numFmtId="0" fontId="10" fillId="4" borderId="67" xfId="0" applyFont="1" applyFill="1" applyBorder="1">
      <alignment vertical="center"/>
    </xf>
    <xf numFmtId="0" fontId="10" fillId="0" borderId="76" xfId="0" applyFont="1" applyBorder="1">
      <alignment vertical="center"/>
    </xf>
    <xf numFmtId="0" fontId="10" fillId="0" borderId="61" xfId="0" applyFont="1" applyBorder="1">
      <alignment vertical="center"/>
    </xf>
    <xf numFmtId="0" fontId="5" fillId="0" borderId="76" xfId="0" applyFont="1" applyBorder="1">
      <alignment vertical="center"/>
    </xf>
    <xf numFmtId="0" fontId="5" fillId="0" borderId="61" xfId="0" applyFont="1" applyBorder="1">
      <alignment vertical="center"/>
    </xf>
    <xf numFmtId="0" fontId="5" fillId="0" borderId="67" xfId="0" applyFont="1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7" xfId="0" applyBorder="1">
      <alignment vertical="center"/>
    </xf>
    <xf numFmtId="0" fontId="10" fillId="0" borderId="67" xfId="0" applyFont="1" applyBorder="1">
      <alignment vertical="center"/>
    </xf>
    <xf numFmtId="0" fontId="0" fillId="9" borderId="0" xfId="0" applyFill="1">
      <alignment vertical="center"/>
    </xf>
    <xf numFmtId="181" fontId="5" fillId="0" borderId="76" xfId="0" applyNumberFormat="1" applyFont="1" applyBorder="1" applyAlignment="1">
      <alignment horizontal="right" vertical="center"/>
    </xf>
    <xf numFmtId="181" fontId="5" fillId="0" borderId="61" xfId="0" applyNumberFormat="1" applyFont="1" applyBorder="1" applyAlignment="1">
      <alignment horizontal="right" vertical="center"/>
    </xf>
    <xf numFmtId="181" fontId="5" fillId="0" borderId="67" xfId="0" applyNumberFormat="1" applyFont="1" applyBorder="1" applyAlignment="1">
      <alignment horizontal="right" vertical="center"/>
    </xf>
    <xf numFmtId="0" fontId="0" fillId="9" borderId="79" xfId="0" applyFill="1" applyBorder="1">
      <alignment vertical="center"/>
    </xf>
    <xf numFmtId="0" fontId="0" fillId="9" borderId="85" xfId="0" applyFill="1" applyBorder="1">
      <alignment vertical="center"/>
    </xf>
    <xf numFmtId="0" fontId="0" fillId="0" borderId="85" xfId="0" applyBorder="1">
      <alignment vertical="center"/>
    </xf>
    <xf numFmtId="0" fontId="0" fillId="0" borderId="84" xfId="0" applyBorder="1">
      <alignment vertical="center"/>
    </xf>
    <xf numFmtId="0" fontId="0" fillId="0" borderId="33" xfId="0" applyBorder="1">
      <alignment vertical="center"/>
    </xf>
    <xf numFmtId="0" fontId="0" fillId="0" borderId="67" xfId="0" applyBorder="1">
      <alignment vertical="center"/>
    </xf>
    <xf numFmtId="0" fontId="0" fillId="0" borderId="35" xfId="0" applyBorder="1">
      <alignment vertical="center"/>
    </xf>
    <xf numFmtId="0" fontId="0" fillId="9" borderId="27" xfId="0" applyFill="1" applyBorder="1">
      <alignment vertical="center"/>
    </xf>
    <xf numFmtId="0" fontId="45" fillId="0" borderId="0" xfId="0" applyFont="1" applyAlignment="1">
      <alignment horizontal="right"/>
    </xf>
    <xf numFmtId="0" fontId="46" fillId="0" borderId="0" xfId="0" applyFont="1" applyAlignment="1"/>
    <xf numFmtId="187" fontId="40" fillId="10" borderId="33" xfId="0" applyNumberFormat="1" applyFont="1" applyFill="1" applyBorder="1" applyAlignment="1">
      <alignment vertical="top"/>
    </xf>
    <xf numFmtId="187" fontId="40" fillId="11" borderId="33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77" fontId="7" fillId="0" borderId="57" xfId="0" applyNumberFormat="1" applyFont="1" applyBorder="1" applyAlignment="1">
      <alignment horizontal="center" vertical="center"/>
    </xf>
    <xf numFmtId="177" fontId="7" fillId="4" borderId="57" xfId="0" applyNumberFormat="1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177" fontId="7" fillId="0" borderId="58" xfId="0" applyNumberFormat="1" applyFont="1" applyBorder="1" applyAlignment="1">
      <alignment horizontal="center" vertical="center"/>
    </xf>
    <xf numFmtId="177" fontId="7" fillId="4" borderId="58" xfId="0" applyNumberFormat="1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177" fontId="7" fillId="0" borderId="59" xfId="0" applyNumberFormat="1" applyFont="1" applyBorder="1" applyAlignment="1">
      <alignment horizontal="center" vertical="center"/>
    </xf>
    <xf numFmtId="177" fontId="7" fillId="4" borderId="59" xfId="0" applyNumberFormat="1" applyFont="1" applyFill="1" applyBorder="1" applyAlignment="1">
      <alignment horizontal="center" vertical="center"/>
    </xf>
    <xf numFmtId="0" fontId="49" fillId="8" borderId="0" xfId="0" applyFont="1" applyFill="1" applyAlignment="1">
      <alignment horizontal="center" vertical="center"/>
    </xf>
    <xf numFmtId="0" fontId="44" fillId="4" borderId="89" xfId="0" applyFont="1" applyFill="1" applyBorder="1">
      <alignment vertical="center"/>
    </xf>
    <xf numFmtId="0" fontId="0" fillId="4" borderId="90" xfId="0" applyFill="1" applyBorder="1">
      <alignment vertical="center"/>
    </xf>
    <xf numFmtId="0" fontId="46" fillId="4" borderId="90" xfId="0" applyFont="1" applyFill="1" applyBorder="1" applyAlignment="1"/>
    <xf numFmtId="0" fontId="46" fillId="4" borderId="91" xfId="0" applyFont="1" applyFill="1" applyBorder="1" applyAlignment="1"/>
    <xf numFmtId="0" fontId="44" fillId="4" borderId="92" xfId="0" applyFont="1" applyFill="1" applyBorder="1">
      <alignment vertical="center"/>
    </xf>
    <xf numFmtId="0" fontId="46" fillId="4" borderId="93" xfId="0" applyFont="1" applyFill="1" applyBorder="1" applyAlignment="1"/>
    <xf numFmtId="0" fontId="45" fillId="4" borderId="93" xfId="0" applyFont="1" applyFill="1" applyBorder="1" applyAlignment="1">
      <alignment horizontal="right"/>
    </xf>
    <xf numFmtId="0" fontId="0" fillId="4" borderId="94" xfId="0" applyFill="1" applyBorder="1">
      <alignment vertical="center"/>
    </xf>
    <xf numFmtId="0" fontId="0" fillId="4" borderId="95" xfId="0" applyFill="1" applyBorder="1">
      <alignment vertical="center"/>
    </xf>
    <xf numFmtId="0" fontId="0" fillId="4" borderId="96" xfId="0" applyFill="1" applyBorder="1">
      <alignment vertical="center"/>
    </xf>
    <xf numFmtId="0" fontId="44" fillId="4" borderId="97" xfId="0" applyFont="1" applyFill="1" applyBorder="1">
      <alignment vertical="center"/>
    </xf>
    <xf numFmtId="0" fontId="0" fillId="4" borderId="98" xfId="0" applyFill="1" applyBorder="1">
      <alignment vertical="center"/>
    </xf>
    <xf numFmtId="0" fontId="45" fillId="4" borderId="98" xfId="0" applyFont="1" applyFill="1" applyBorder="1" applyAlignment="1"/>
    <xf numFmtId="0" fontId="45" fillId="4" borderId="99" xfId="0" applyFont="1" applyFill="1" applyBorder="1" applyAlignment="1">
      <alignment horizontal="right"/>
    </xf>
    <xf numFmtId="0" fontId="44" fillId="4" borderId="100" xfId="0" applyFont="1" applyFill="1" applyBorder="1">
      <alignment vertical="center"/>
    </xf>
    <xf numFmtId="0" fontId="45" fillId="4" borderId="101" xfId="0" applyFont="1" applyFill="1" applyBorder="1" applyAlignment="1">
      <alignment horizontal="right"/>
    </xf>
    <xf numFmtId="0" fontId="44" fillId="4" borderId="101" xfId="0" applyFont="1" applyFill="1" applyBorder="1">
      <alignment vertical="center"/>
    </xf>
    <xf numFmtId="0" fontId="0" fillId="4" borderId="102" xfId="0" applyFill="1" applyBorder="1">
      <alignment vertical="center"/>
    </xf>
    <xf numFmtId="0" fontId="0" fillId="4" borderId="103" xfId="0" applyFill="1" applyBorder="1">
      <alignment vertical="center"/>
    </xf>
    <xf numFmtId="0" fontId="0" fillId="4" borderId="104" xfId="0" applyFill="1" applyBorder="1">
      <alignment vertical="center"/>
    </xf>
    <xf numFmtId="185" fontId="0" fillId="5" borderId="23" xfId="0" applyNumberFormat="1" applyFill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85" fontId="40" fillId="0" borderId="0" xfId="0" applyNumberFormat="1" applyFont="1">
      <alignment vertical="center"/>
    </xf>
    <xf numFmtId="0" fontId="42" fillId="7" borderId="0" xfId="0" applyFont="1" applyFill="1" applyAlignment="1"/>
    <xf numFmtId="0" fontId="0" fillId="0" borderId="111" xfId="0" applyBorder="1" applyAlignment="1">
      <alignment horizontal="center" vertical="center"/>
    </xf>
    <xf numFmtId="187" fontId="0" fillId="0" borderId="111" xfId="0" applyNumberFormat="1" applyBorder="1" applyAlignment="1">
      <alignment horizontal="center" vertical="center"/>
    </xf>
    <xf numFmtId="14" fontId="0" fillId="0" borderId="111" xfId="0" applyNumberFormat="1" applyBorder="1" applyAlignment="1">
      <alignment horizontal="center" vertical="center"/>
    </xf>
    <xf numFmtId="178" fontId="0" fillId="0" borderId="111" xfId="0" applyNumberForma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187" fontId="0" fillId="0" borderId="123" xfId="0" applyNumberFormat="1" applyBorder="1" applyAlignment="1">
      <alignment horizontal="center" vertical="center"/>
    </xf>
    <xf numFmtId="14" fontId="0" fillId="0" borderId="123" xfId="0" applyNumberFormat="1" applyBorder="1" applyAlignment="1">
      <alignment horizontal="center" vertical="center"/>
    </xf>
    <xf numFmtId="178" fontId="0" fillId="0" borderId="123" xfId="0" applyNumberFormat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2" borderId="106" xfId="0" applyFill="1" applyBorder="1" applyAlignment="1">
      <alignment horizontal="center" vertical="center"/>
    </xf>
    <xf numFmtId="0" fontId="0" fillId="2" borderId="105" xfId="0" applyFill="1" applyBorder="1" applyAlignment="1">
      <alignment horizontal="center" vertical="center"/>
    </xf>
    <xf numFmtId="0" fontId="0" fillId="2" borderId="69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178" fontId="50" fillId="5" borderId="125" xfId="0" applyNumberFormat="1" applyFont="1" applyFill="1" applyBorder="1" applyAlignment="1">
      <alignment horizontal="center" vertical="center"/>
    </xf>
    <xf numFmtId="0" fontId="11" fillId="0" borderId="71" xfId="0" applyFont="1" applyBorder="1">
      <alignment vertical="center"/>
    </xf>
    <xf numFmtId="0" fontId="0" fillId="0" borderId="127" xfId="0" applyBorder="1" applyAlignment="1">
      <alignment horizontal="center" vertical="center"/>
    </xf>
    <xf numFmtId="0" fontId="11" fillId="0" borderId="73" xfId="0" applyFont="1" applyBorder="1">
      <alignment vertical="center"/>
    </xf>
    <xf numFmtId="0" fontId="0" fillId="0" borderId="129" xfId="0" applyBorder="1" applyAlignment="1">
      <alignment horizontal="center" vertical="center"/>
    </xf>
    <xf numFmtId="0" fontId="0" fillId="4" borderId="125" xfId="0" applyFill="1" applyBorder="1" applyAlignment="1">
      <alignment horizontal="center" vertical="center"/>
    </xf>
    <xf numFmtId="0" fontId="5" fillId="4" borderId="130" xfId="0" applyFont="1" applyFill="1" applyBorder="1" applyAlignment="1">
      <alignment horizontal="center" vertical="center"/>
    </xf>
    <xf numFmtId="0" fontId="11" fillId="0" borderId="131" xfId="0" applyFont="1" applyBorder="1">
      <alignment vertical="center"/>
    </xf>
    <xf numFmtId="0" fontId="0" fillId="0" borderId="132" xfId="0" applyBorder="1" applyAlignment="1">
      <alignment horizontal="center" vertical="center"/>
    </xf>
    <xf numFmtId="0" fontId="11" fillId="4" borderId="68" xfId="0" applyFont="1" applyFill="1" applyBorder="1" applyAlignment="1">
      <alignment horizontal="center" vertical="center"/>
    </xf>
    <xf numFmtId="0" fontId="0" fillId="0" borderId="135" xfId="0" applyBorder="1">
      <alignment vertical="center"/>
    </xf>
    <xf numFmtId="0" fontId="0" fillId="0" borderId="135" xfId="0" applyBorder="1" applyAlignment="1">
      <alignment horizontal="center" vertical="center"/>
    </xf>
    <xf numFmtId="0" fontId="5" fillId="4" borderId="137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11" fillId="4" borderId="105" xfId="0" applyFont="1" applyFill="1" applyBorder="1" applyAlignment="1">
      <alignment horizontal="center" vertical="center"/>
    </xf>
    <xf numFmtId="0" fontId="11" fillId="4" borderId="125" xfId="0" applyFont="1" applyFill="1" applyBorder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3" fillId="6" borderId="0" xfId="0" applyFont="1" applyFill="1">
      <alignment vertical="center"/>
    </xf>
    <xf numFmtId="0" fontId="0" fillId="6" borderId="0" xfId="0" applyFill="1">
      <alignment vertical="center"/>
    </xf>
    <xf numFmtId="0" fontId="54" fillId="0" borderId="0" xfId="0" applyFont="1">
      <alignment vertical="center"/>
    </xf>
    <xf numFmtId="0" fontId="4" fillId="0" borderId="0" xfId="1" applyAlignment="1">
      <alignment horizontal="center" vertical="center"/>
    </xf>
    <xf numFmtId="0" fontId="55" fillId="13" borderId="0" xfId="0" applyFont="1" applyFill="1">
      <alignment vertical="center"/>
    </xf>
    <xf numFmtId="0" fontId="0" fillId="13" borderId="0" xfId="0" applyFill="1">
      <alignment vertical="center"/>
    </xf>
    <xf numFmtId="0" fontId="15" fillId="0" borderId="0" xfId="0" applyFont="1">
      <alignment vertical="center"/>
    </xf>
    <xf numFmtId="0" fontId="0" fillId="16" borderId="144" xfId="0" applyFill="1" applyBorder="1" applyAlignment="1">
      <alignment horizontal="center" vertical="center"/>
    </xf>
    <xf numFmtId="0" fontId="0" fillId="16" borderId="145" xfId="0" applyFill="1" applyBorder="1" applyAlignment="1">
      <alignment horizontal="center" vertical="center"/>
    </xf>
    <xf numFmtId="0" fontId="0" fillId="0" borderId="146" xfId="0" applyBorder="1" applyAlignment="1">
      <alignment horizontal="left" vertical="center" indent="1"/>
    </xf>
    <xf numFmtId="0" fontId="0" fillId="0" borderId="147" xfId="0" applyBorder="1" applyAlignment="1">
      <alignment horizontal="left" vertical="center" indent="1"/>
    </xf>
    <xf numFmtId="0" fontId="1" fillId="14" borderId="0" xfId="0" applyFont="1" applyFill="1">
      <alignment vertical="center"/>
    </xf>
    <xf numFmtId="0" fontId="56" fillId="14" borderId="0" xfId="0" applyFont="1" applyFill="1">
      <alignment vertical="center"/>
    </xf>
    <xf numFmtId="0" fontId="0" fillId="14" borderId="0" xfId="0" applyFill="1">
      <alignment vertical="center"/>
    </xf>
    <xf numFmtId="185" fontId="0" fillId="0" borderId="0" xfId="0" applyNumberFormat="1" applyAlignment="1">
      <alignment horizontal="center" vertical="center" wrapText="1"/>
    </xf>
    <xf numFmtId="185" fontId="16" fillId="0" borderId="0" xfId="0" applyNumberFormat="1" applyFont="1" applyAlignment="1"/>
    <xf numFmtId="185" fontId="16" fillId="0" borderId="0" xfId="0" applyNumberFormat="1" applyFont="1" applyAlignment="1">
      <alignment horizontal="right"/>
    </xf>
    <xf numFmtId="185" fontId="47" fillId="0" borderId="0" xfId="0" applyNumberFormat="1" applyFont="1" applyAlignment="1"/>
    <xf numFmtId="185" fontId="0" fillId="0" borderId="0" xfId="0" applyNumberFormat="1" applyAlignment="1">
      <alignment vertical="center" wrapText="1"/>
    </xf>
    <xf numFmtId="181" fontId="7" fillId="0" borderId="12" xfId="0" applyNumberFormat="1" applyFont="1" applyBorder="1" applyAlignment="1">
      <alignment horizontal="center" vertical="center"/>
    </xf>
    <xf numFmtId="181" fontId="7" fillId="0" borderId="5" xfId="0" applyNumberFormat="1" applyFont="1" applyBorder="1" applyAlignment="1">
      <alignment horizontal="center" vertical="center"/>
    </xf>
    <xf numFmtId="181" fontId="7" fillId="0" borderId="29" xfId="0" applyNumberFormat="1" applyFont="1" applyBorder="1" applyAlignment="1">
      <alignment horizontal="center" vertical="center"/>
    </xf>
    <xf numFmtId="181" fontId="7" fillId="0" borderId="30" xfId="0" applyNumberFormat="1" applyFont="1" applyBorder="1" applyAlignment="1">
      <alignment horizontal="center" vertical="center"/>
    </xf>
    <xf numFmtId="181" fontId="7" fillId="0" borderId="3" xfId="0" applyNumberFormat="1" applyFont="1" applyBorder="1" applyAlignment="1">
      <alignment horizontal="center" vertical="center"/>
    </xf>
    <xf numFmtId="181" fontId="7" fillId="0" borderId="31" xfId="0" applyNumberFormat="1" applyFont="1" applyBorder="1" applyAlignment="1">
      <alignment horizontal="center" vertical="center"/>
    </xf>
    <xf numFmtId="181" fontId="7" fillId="0" borderId="26" xfId="0" applyNumberFormat="1" applyFont="1" applyBorder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8" fontId="7" fillId="0" borderId="3" xfId="0" applyNumberFormat="1" applyFont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178" fontId="7" fillId="0" borderId="31" xfId="0" applyNumberFormat="1" applyFont="1" applyBorder="1" applyAlignment="1">
      <alignment horizontal="center" vertical="center"/>
    </xf>
    <xf numFmtId="178" fontId="7" fillId="0" borderId="30" xfId="0" applyNumberFormat="1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185" fontId="48" fillId="0" borderId="0" xfId="0" applyNumberFormat="1" applyFont="1" applyAlignment="1">
      <alignment horizontal="right"/>
    </xf>
    <xf numFmtId="0" fontId="46" fillId="4" borderId="98" xfId="0" applyFont="1" applyFill="1" applyBorder="1" applyAlignment="1"/>
    <xf numFmtId="0" fontId="58" fillId="0" borderId="0" xfId="0" applyFont="1">
      <alignment vertical="center"/>
    </xf>
    <xf numFmtId="178" fontId="11" fillId="0" borderId="0" xfId="0" applyNumberFormat="1" applyFont="1">
      <alignment vertical="center"/>
    </xf>
    <xf numFmtId="178" fontId="11" fillId="0" borderId="0" xfId="0" applyNumberFormat="1" applyFont="1" applyAlignment="1">
      <alignment vertical="center" wrapText="1"/>
    </xf>
    <xf numFmtId="185" fontId="0" fillId="0" borderId="65" xfId="0" applyNumberFormat="1" applyBorder="1" applyAlignment="1">
      <alignment horizontal="center" vertical="center" wrapText="1"/>
    </xf>
    <xf numFmtId="0" fontId="46" fillId="4" borderId="99" xfId="0" applyFont="1" applyFill="1" applyBorder="1" applyAlignment="1"/>
    <xf numFmtId="0" fontId="46" fillId="4" borderId="101" xfId="0" applyFont="1" applyFill="1" applyBorder="1" applyAlignment="1"/>
    <xf numFmtId="0" fontId="45" fillId="4" borderId="101" xfId="0" applyFont="1" applyFill="1" applyBorder="1" applyAlignment="1"/>
    <xf numFmtId="185" fontId="48" fillId="0" borderId="0" xfId="0" applyNumberFormat="1" applyFont="1" applyAlignment="1"/>
    <xf numFmtId="185" fontId="0" fillId="0" borderId="72" xfId="0" applyNumberFormat="1" applyBorder="1" applyAlignment="1">
      <alignment horizontal="center" vertical="center" wrapText="1"/>
    </xf>
    <xf numFmtId="185" fontId="0" fillId="0" borderId="72" xfId="0" applyNumberFormat="1" applyBorder="1">
      <alignment vertical="center"/>
    </xf>
    <xf numFmtId="185" fontId="0" fillId="0" borderId="155" xfId="0" applyNumberFormat="1" applyBorder="1" applyAlignment="1">
      <alignment horizontal="center" vertical="center" wrapText="1"/>
    </xf>
    <xf numFmtId="0" fontId="0" fillId="0" borderId="98" xfId="0" applyBorder="1">
      <alignment vertical="center"/>
    </xf>
    <xf numFmtId="178" fontId="59" fillId="5" borderId="0" xfId="0" applyNumberFormat="1" applyFont="1" applyFill="1" applyAlignment="1"/>
    <xf numFmtId="185" fontId="11" fillId="5" borderId="0" xfId="0" applyNumberFormat="1" applyFont="1" applyFill="1">
      <alignment vertical="center"/>
    </xf>
    <xf numFmtId="189" fontId="5" fillId="5" borderId="0" xfId="0" applyNumberFormat="1" applyFont="1" applyFill="1">
      <alignment vertical="center"/>
    </xf>
    <xf numFmtId="185" fontId="0" fillId="0" borderId="66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0" fillId="4" borderId="148" xfId="0" applyFill="1" applyBorder="1" applyAlignment="1">
      <alignment horizontal="center" vertical="center"/>
    </xf>
    <xf numFmtId="0" fontId="0" fillId="4" borderId="158" xfId="0" applyFill="1" applyBorder="1" applyAlignment="1">
      <alignment horizontal="center" vertical="center"/>
    </xf>
    <xf numFmtId="0" fontId="0" fillId="4" borderId="159" xfId="0" applyFill="1" applyBorder="1" applyAlignment="1">
      <alignment horizontal="center" vertical="center"/>
    </xf>
    <xf numFmtId="0" fontId="0" fillId="4" borderId="160" xfId="0" applyFill="1" applyBorder="1" applyAlignment="1">
      <alignment horizontal="center" vertical="center"/>
    </xf>
    <xf numFmtId="0" fontId="46" fillId="0" borderId="100" xfId="0" applyFont="1" applyBorder="1" applyAlignment="1"/>
    <xf numFmtId="0" fontId="11" fillId="4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85" fontId="5" fillId="0" borderId="155" xfId="0" applyNumberFormat="1" applyFont="1" applyBorder="1" applyAlignment="1">
      <alignment horizontal="center" vertical="center"/>
    </xf>
    <xf numFmtId="185" fontId="5" fillId="0" borderId="65" xfId="0" applyNumberFormat="1" applyFont="1" applyBorder="1" applyAlignment="1">
      <alignment horizontal="center" vertical="center"/>
    </xf>
    <xf numFmtId="185" fontId="0" fillId="0" borderId="72" xfId="0" applyNumberFormat="1" applyBorder="1" applyAlignment="1">
      <alignment horizontal="center" vertical="center"/>
    </xf>
    <xf numFmtId="185" fontId="0" fillId="0" borderId="65" xfId="0" applyNumberForma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11" fillId="0" borderId="139" xfId="0" applyFont="1" applyBorder="1" applyAlignment="1">
      <alignment horizontal="center" vertical="center"/>
    </xf>
    <xf numFmtId="0" fontId="11" fillId="0" borderId="14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7" fillId="0" borderId="141" xfId="0" applyFont="1" applyBorder="1" applyAlignment="1">
      <alignment horizontal="center" vertical="top"/>
    </xf>
    <xf numFmtId="0" fontId="12" fillId="15" borderId="142" xfId="0" applyFont="1" applyFill="1" applyBorder="1" applyAlignment="1">
      <alignment horizontal="center" vertical="center"/>
    </xf>
    <xf numFmtId="0" fontId="12" fillId="15" borderId="143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center" vertical="center"/>
    </xf>
    <xf numFmtId="0" fontId="32" fillId="7" borderId="76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/>
    </xf>
    <xf numFmtId="0" fontId="32" fillId="7" borderId="67" xfId="0" applyFont="1" applyFill="1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11" fillId="0" borderId="22" xfId="0" quotePrefix="1" applyFont="1" applyBorder="1" applyAlignment="1">
      <alignment horizontal="left" vertical="center"/>
    </xf>
    <xf numFmtId="0" fontId="11" fillId="0" borderId="33" xfId="0" quotePrefix="1" applyFont="1" applyBorder="1" applyAlignment="1">
      <alignment horizontal="left" vertical="center"/>
    </xf>
    <xf numFmtId="0" fontId="0" fillId="0" borderId="6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" borderId="105" xfId="0" applyFill="1" applyBorder="1" applyAlignment="1">
      <alignment horizontal="center" vertical="center"/>
    </xf>
    <xf numFmtId="0" fontId="11" fillId="0" borderId="0" xfId="0" quotePrefix="1" applyFont="1" applyAlignment="1">
      <alignment horizontal="left" vertical="center"/>
    </xf>
    <xf numFmtId="0" fontId="0" fillId="0" borderId="109" xfId="0" applyBorder="1" applyAlignment="1">
      <alignment horizontal="center" vertical="center"/>
    </xf>
    <xf numFmtId="0" fontId="0" fillId="0" borderId="157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83" fontId="0" fillId="0" borderId="153" xfId="0" applyNumberFormat="1" applyBorder="1" applyAlignment="1">
      <alignment horizontal="center" vertical="center"/>
    </xf>
    <xf numFmtId="183" fontId="0" fillId="0" borderId="64" xfId="0" applyNumberFormat="1" applyBorder="1" applyAlignment="1">
      <alignment horizontal="center" vertical="center"/>
    </xf>
    <xf numFmtId="184" fontId="0" fillId="0" borderId="157" xfId="0" applyNumberFormat="1" applyBorder="1" applyAlignment="1">
      <alignment horizontal="center" vertical="center"/>
    </xf>
    <xf numFmtId="184" fontId="0" fillId="0" borderId="74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67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15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56" xfId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85" fontId="30" fillId="0" borderId="0" xfId="0" applyNumberFormat="1" applyFont="1" applyAlignment="1">
      <alignment horizontal="right"/>
    </xf>
    <xf numFmtId="0" fontId="10" fillId="0" borderId="1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0" fontId="18" fillId="6" borderId="4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178" fontId="12" fillId="3" borderId="0" xfId="0" applyNumberFormat="1" applyFont="1" applyFill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8" fillId="6" borderId="43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16" fillId="5" borderId="0" xfId="0" applyNumberFormat="1" applyFont="1" applyFill="1" applyAlignment="1">
      <alignment horizontal="center" vertical="center"/>
    </xf>
    <xf numFmtId="181" fontId="59" fillId="5" borderId="0" xfId="0" applyNumberFormat="1" applyFont="1" applyFill="1" applyAlignment="1">
      <alignment horizontal="left" vertical="center"/>
    </xf>
    <xf numFmtId="185" fontId="14" fillId="5" borderId="0" xfId="0" applyNumberFormat="1" applyFont="1" applyFill="1" applyAlignment="1">
      <alignment horizontal="right" vertical="center"/>
    </xf>
    <xf numFmtId="185" fontId="0" fillId="0" borderId="149" xfId="0" applyNumberFormat="1" applyBorder="1" applyAlignment="1">
      <alignment horizontal="center" vertical="center"/>
    </xf>
    <xf numFmtId="185" fontId="0" fillId="0" borderId="108" xfId="0" applyNumberFormat="1" applyBorder="1" applyAlignment="1">
      <alignment horizontal="center" vertical="center"/>
    </xf>
    <xf numFmtId="185" fontId="0" fillId="0" borderId="150" xfId="0" applyNumberFormat="1" applyBorder="1" applyAlignment="1">
      <alignment horizontal="center" vertical="center" wrapText="1"/>
    </xf>
    <xf numFmtId="185" fontId="0" fillId="0" borderId="128" xfId="0" applyNumberFormat="1" applyBorder="1" applyAlignment="1">
      <alignment horizontal="center" vertical="center" wrapText="1"/>
    </xf>
    <xf numFmtId="185" fontId="0" fillId="0" borderId="0" xfId="0" applyNumberFormat="1" applyAlignment="1">
      <alignment horizontal="center" vertical="center"/>
    </xf>
    <xf numFmtId="0" fontId="10" fillId="0" borderId="150" xfId="0" applyFont="1" applyBorder="1" applyAlignment="1">
      <alignment horizontal="center" vertical="center"/>
    </xf>
    <xf numFmtId="0" fontId="10" fillId="0" borderId="128" xfId="0" applyFont="1" applyBorder="1" applyAlignment="1">
      <alignment horizontal="center" vertical="center"/>
    </xf>
    <xf numFmtId="0" fontId="58" fillId="17" borderId="80" xfId="0" applyFont="1" applyFill="1" applyBorder="1" applyAlignment="1">
      <alignment horizontal="center" vertical="center"/>
    </xf>
    <xf numFmtId="0" fontId="58" fillId="17" borderId="156" xfId="0" applyFont="1" applyFill="1" applyBorder="1" applyAlignment="1">
      <alignment horizontal="center" vertical="center"/>
    </xf>
    <xf numFmtId="0" fontId="58" fillId="17" borderId="82" xfId="0" applyFont="1" applyFill="1" applyBorder="1" applyAlignment="1">
      <alignment horizontal="center" vertical="center"/>
    </xf>
    <xf numFmtId="0" fontId="10" fillId="0" borderId="154" xfId="0" applyFont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0" fontId="10" fillId="0" borderId="149" xfId="0" applyFont="1" applyBorder="1" applyAlignment="1">
      <alignment horizontal="center" vertical="center"/>
    </xf>
    <xf numFmtId="185" fontId="0" fillId="0" borderId="150" xfId="0" applyNumberFormat="1" applyBorder="1" applyAlignment="1">
      <alignment horizontal="center" vertical="center"/>
    </xf>
    <xf numFmtId="185" fontId="0" fillId="0" borderId="128" xfId="0" applyNumberFormat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58" fillId="19" borderId="80" xfId="0" applyFont="1" applyFill="1" applyBorder="1" applyAlignment="1">
      <alignment horizontal="center" vertical="center"/>
    </xf>
    <xf numFmtId="0" fontId="58" fillId="19" borderId="156" xfId="0" applyFont="1" applyFill="1" applyBorder="1" applyAlignment="1">
      <alignment horizontal="center" vertical="center"/>
    </xf>
    <xf numFmtId="0" fontId="58" fillId="19" borderId="82" xfId="0" applyFont="1" applyFill="1" applyBorder="1" applyAlignment="1">
      <alignment horizontal="center" vertical="center"/>
    </xf>
    <xf numFmtId="185" fontId="10" fillId="0" borderId="149" xfId="0" applyNumberFormat="1" applyFont="1" applyBorder="1" applyAlignment="1">
      <alignment horizontal="center" vertical="center" wrapText="1"/>
    </xf>
    <xf numFmtId="185" fontId="10" fillId="0" borderId="108" xfId="0" applyNumberFormat="1" applyFont="1" applyBorder="1" applyAlignment="1">
      <alignment horizontal="center" vertical="center" wrapText="1"/>
    </xf>
    <xf numFmtId="0" fontId="46" fillId="4" borderId="98" xfId="0" applyFont="1" applyFill="1" applyBorder="1" applyAlignment="1">
      <alignment horizontal="left"/>
    </xf>
    <xf numFmtId="0" fontId="46" fillId="4" borderId="0" xfId="0" applyFont="1" applyFill="1" applyAlignment="1">
      <alignment horizontal="left"/>
    </xf>
    <xf numFmtId="0" fontId="58" fillId="18" borderId="37" xfId="0" applyFont="1" applyFill="1" applyBorder="1" applyAlignment="1">
      <alignment horizontal="center" vertical="center"/>
    </xf>
    <xf numFmtId="185" fontId="45" fillId="4" borderId="98" xfId="0" applyNumberFormat="1" applyFont="1" applyFill="1" applyBorder="1" applyAlignment="1">
      <alignment horizontal="right"/>
    </xf>
    <xf numFmtId="185" fontId="45" fillId="4" borderId="0" xfId="0" applyNumberFormat="1" applyFont="1" applyFill="1" applyAlignment="1">
      <alignment horizontal="right"/>
    </xf>
    <xf numFmtId="185" fontId="0" fillId="0" borderId="81" xfId="0" applyNumberFormat="1" applyBorder="1" applyAlignment="1">
      <alignment horizontal="center" vertical="center"/>
    </xf>
    <xf numFmtId="185" fontId="0" fillId="0" borderId="152" xfId="0" applyNumberFormat="1" applyBorder="1" applyAlignment="1">
      <alignment horizontal="center" vertical="center"/>
    </xf>
    <xf numFmtId="0" fontId="58" fillId="3" borderId="80" xfId="0" applyFont="1" applyFill="1" applyBorder="1" applyAlignment="1">
      <alignment horizontal="center" vertical="center"/>
    </xf>
    <xf numFmtId="0" fontId="58" fillId="3" borderId="156" xfId="0" applyFont="1" applyFill="1" applyBorder="1" applyAlignment="1">
      <alignment horizontal="center" vertical="center"/>
    </xf>
    <xf numFmtId="0" fontId="58" fillId="3" borderId="82" xfId="0" applyFont="1" applyFill="1" applyBorder="1" applyAlignment="1">
      <alignment horizontal="center" vertical="center"/>
    </xf>
    <xf numFmtId="178" fontId="12" fillId="0" borderId="82" xfId="0" applyNumberFormat="1" applyFont="1" applyBorder="1" applyAlignment="1">
      <alignment horizontal="center" vertical="center"/>
    </xf>
    <xf numFmtId="178" fontId="12" fillId="0" borderId="76" xfId="0" applyNumberFormat="1" applyFont="1" applyBorder="1" applyAlignment="1">
      <alignment horizontal="center" vertical="center"/>
    </xf>
    <xf numFmtId="178" fontId="12" fillId="0" borderId="66" xfId="0" applyNumberFormat="1" applyFont="1" applyBorder="1" applyAlignment="1">
      <alignment horizontal="center" vertical="center"/>
    </xf>
    <xf numFmtId="178" fontId="12" fillId="0" borderId="67" xfId="0" applyNumberFormat="1" applyFont="1" applyBorder="1" applyAlignment="1">
      <alignment horizontal="center" vertical="center"/>
    </xf>
    <xf numFmtId="185" fontId="0" fillId="0" borderId="69" xfId="0" applyNumberFormat="1" applyBorder="1" applyAlignment="1">
      <alignment horizontal="center" vertical="center" wrapText="1"/>
    </xf>
    <xf numFmtId="185" fontId="0" fillId="0" borderId="13" xfId="0" applyNumberFormat="1" applyBorder="1" applyAlignment="1">
      <alignment horizontal="center" vertical="center" wrapText="1"/>
    </xf>
    <xf numFmtId="185" fontId="0" fillId="0" borderId="106" xfId="0" applyNumberFormat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5" fillId="5" borderId="80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81" xfId="0" applyFont="1" applyFill="1" applyBorder="1" applyAlignment="1">
      <alignment horizontal="center" vertical="center"/>
    </xf>
    <xf numFmtId="178" fontId="59" fillId="5" borderId="0" xfId="0" applyNumberFormat="1" applyFont="1" applyFill="1" applyAlignment="1">
      <alignment horizontal="right"/>
    </xf>
    <xf numFmtId="0" fontId="24" fillId="5" borderId="34" xfId="0" applyFont="1" applyFill="1" applyBorder="1" applyAlignment="1">
      <alignment horizontal="center" vertical="center"/>
    </xf>
    <xf numFmtId="185" fontId="16" fillId="5" borderId="0" xfId="0" applyNumberFormat="1" applyFont="1" applyFill="1" applyAlignment="1">
      <alignment horizontal="right"/>
    </xf>
    <xf numFmtId="185" fontId="45" fillId="4" borderId="90" xfId="0" applyNumberFormat="1" applyFont="1" applyFill="1" applyBorder="1" applyAlignment="1">
      <alignment horizontal="right"/>
    </xf>
    <xf numFmtId="0" fontId="11" fillId="0" borderId="3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2" fillId="10" borderId="34" xfId="0" applyFont="1" applyFill="1" applyBorder="1" applyAlignment="1">
      <alignment horizontal="center"/>
    </xf>
    <xf numFmtId="0" fontId="12" fillId="10" borderId="37" xfId="0" applyFont="1" applyFill="1" applyBorder="1" applyAlignment="1">
      <alignment horizontal="center"/>
    </xf>
    <xf numFmtId="0" fontId="12" fillId="10" borderId="76" xfId="0" applyFont="1" applyFill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4" borderId="82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11" fillId="4" borderId="86" xfId="0" applyFont="1" applyFill="1" applyBorder="1" applyAlignment="1">
      <alignment horizontal="center" vertical="center"/>
    </xf>
    <xf numFmtId="0" fontId="11" fillId="4" borderId="87" xfId="0" applyFont="1" applyFill="1" applyBorder="1" applyAlignment="1">
      <alignment horizontal="center" vertical="center"/>
    </xf>
    <xf numFmtId="0" fontId="11" fillId="4" borderId="8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8" fontId="12" fillId="4" borderId="69" xfId="0" applyNumberFormat="1" applyFont="1" applyFill="1" applyBorder="1" applyAlignment="1">
      <alignment horizontal="center" vertical="center"/>
    </xf>
    <xf numFmtId="178" fontId="12" fillId="4" borderId="13" xfId="0" applyNumberFormat="1" applyFont="1" applyFill="1" applyBorder="1" applyAlignment="1">
      <alignment horizontal="center" vertical="center"/>
    </xf>
    <xf numFmtId="178" fontId="12" fillId="4" borderId="24" xfId="0" applyNumberFormat="1" applyFont="1" applyFill="1" applyBorder="1" applyAlignment="1">
      <alignment horizontal="center" vertical="center"/>
    </xf>
    <xf numFmtId="178" fontId="12" fillId="4" borderId="23" xfId="0" applyNumberFormat="1" applyFont="1" applyFill="1" applyBorder="1" applyAlignment="1">
      <alignment horizontal="center" vertical="center"/>
    </xf>
    <xf numFmtId="178" fontId="12" fillId="2" borderId="69" xfId="0" applyNumberFormat="1" applyFont="1" applyFill="1" applyBorder="1" applyAlignment="1">
      <alignment horizontal="center" vertical="center"/>
    </xf>
    <xf numFmtId="178" fontId="12" fillId="2" borderId="13" xfId="0" applyNumberFormat="1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178" fontId="12" fillId="2" borderId="23" xfId="0" applyNumberFormat="1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8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46" fillId="4" borderId="90" xfId="0" applyFont="1" applyFill="1" applyBorder="1" applyAlignment="1">
      <alignment horizontal="left"/>
    </xf>
    <xf numFmtId="0" fontId="11" fillId="4" borderId="34" xfId="0" applyFont="1" applyFill="1" applyBorder="1" applyAlignment="1">
      <alignment horizontal="center" vertical="center" wrapText="1"/>
    </xf>
    <xf numFmtId="0" fontId="0" fillId="0" borderId="110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43" fillId="7" borderId="0" xfId="0" applyFont="1" applyFill="1" applyAlignment="1">
      <alignment horizontal="left"/>
    </xf>
    <xf numFmtId="0" fontId="0" fillId="0" borderId="116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42" fillId="7" borderId="0" xfId="0" applyFont="1" applyFill="1" applyAlignment="1">
      <alignment horizontal="right"/>
    </xf>
    <xf numFmtId="0" fontId="11" fillId="0" borderId="136" xfId="0" quotePrefix="1" applyFont="1" applyBorder="1" applyAlignment="1">
      <alignment horizontal="left" vertical="center"/>
    </xf>
    <xf numFmtId="0" fontId="11" fillId="0" borderId="109" xfId="0" applyFont="1" applyBorder="1" applyAlignment="1">
      <alignment horizontal="center" vertical="center"/>
    </xf>
    <xf numFmtId="0" fontId="11" fillId="0" borderId="132" xfId="0" applyFont="1" applyBorder="1" applyAlignment="1">
      <alignment horizontal="center" vertical="center"/>
    </xf>
    <xf numFmtId="0" fontId="11" fillId="0" borderId="128" xfId="0" applyFont="1" applyBorder="1" applyAlignment="1">
      <alignment horizontal="center" vertical="center"/>
    </xf>
    <xf numFmtId="0" fontId="11" fillId="0" borderId="129" xfId="0" applyFont="1" applyBorder="1" applyAlignment="1">
      <alignment horizontal="center" vertical="center"/>
    </xf>
    <xf numFmtId="0" fontId="0" fillId="4" borderId="125" xfId="0" applyFill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2" fillId="0" borderId="135" xfId="0" applyFont="1" applyBorder="1" applyAlignment="1">
      <alignment horizontal="left" vertical="center" wrapText="1"/>
    </xf>
    <xf numFmtId="183" fontId="0" fillId="0" borderId="71" xfId="0" applyNumberFormat="1" applyBorder="1" applyAlignment="1">
      <alignment horizontal="center" vertical="center"/>
    </xf>
    <xf numFmtId="183" fontId="0" fillId="0" borderId="73" xfId="0" applyNumberFormat="1" applyBorder="1" applyAlignment="1">
      <alignment horizontal="center" vertical="center"/>
    </xf>
    <xf numFmtId="183" fontId="0" fillId="0" borderId="108" xfId="0" applyNumberFormat="1" applyBorder="1" applyAlignment="1">
      <alignment horizontal="center" vertical="center"/>
    </xf>
    <xf numFmtId="183" fontId="0" fillId="0" borderId="128" xfId="0" applyNumberFormat="1" applyBorder="1" applyAlignment="1">
      <alignment horizontal="center" vertical="center"/>
    </xf>
    <xf numFmtId="183" fontId="0" fillId="0" borderId="127" xfId="0" applyNumberFormat="1" applyBorder="1" applyAlignment="1">
      <alignment horizontal="center" vertical="center"/>
    </xf>
    <xf numFmtId="183" fontId="0" fillId="0" borderId="129" xfId="0" applyNumberFormat="1" applyBorder="1" applyAlignment="1">
      <alignment horizontal="center" vertical="center"/>
    </xf>
    <xf numFmtId="0" fontId="11" fillId="0" borderId="34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133" xfId="0" applyFont="1" applyBorder="1" applyAlignment="1">
      <alignment horizontal="left" vertical="center"/>
    </xf>
    <xf numFmtId="0" fontId="11" fillId="0" borderId="134" xfId="0" applyFont="1" applyBorder="1" applyAlignment="1">
      <alignment horizontal="left" vertical="center"/>
    </xf>
    <xf numFmtId="0" fontId="32" fillId="12" borderId="34" xfId="0" applyFont="1" applyFill="1" applyBorder="1" applyAlignment="1">
      <alignment horizontal="center" vertical="center"/>
    </xf>
    <xf numFmtId="0" fontId="32" fillId="12" borderId="37" xfId="0" applyFont="1" applyFill="1" applyBorder="1" applyAlignment="1">
      <alignment horizontal="center" vertical="center"/>
    </xf>
    <xf numFmtId="0" fontId="32" fillId="12" borderId="76" xfId="0" applyFont="1" applyFill="1" applyBorder="1" applyAlignment="1">
      <alignment horizontal="center" vertical="center"/>
    </xf>
    <xf numFmtId="0" fontId="32" fillId="12" borderId="35" xfId="0" applyFont="1" applyFill="1" applyBorder="1" applyAlignment="1">
      <alignment horizontal="center" vertical="center"/>
    </xf>
    <xf numFmtId="0" fontId="32" fillId="12" borderId="33" xfId="0" applyFont="1" applyFill="1" applyBorder="1" applyAlignment="1">
      <alignment horizontal="center" vertical="center"/>
    </xf>
    <xf numFmtId="0" fontId="32" fillId="12" borderId="67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183" fontId="0" fillId="0" borderId="70" xfId="0" applyNumberFormat="1" applyBorder="1" applyAlignment="1">
      <alignment horizontal="center" vertical="center"/>
    </xf>
    <xf numFmtId="183" fontId="0" fillId="0" borderId="107" xfId="0" applyNumberFormat="1" applyBorder="1" applyAlignment="1">
      <alignment horizontal="center" vertical="center"/>
    </xf>
    <xf numFmtId="183" fontId="0" fillId="0" borderId="126" xfId="0" applyNumberFormat="1" applyBorder="1" applyAlignment="1">
      <alignment horizontal="center" vertical="center"/>
    </xf>
    <xf numFmtId="0" fontId="49" fillId="8" borderId="2" xfId="0" applyFont="1" applyFill="1" applyBorder="1" applyAlignment="1">
      <alignment horizontal="center" vertical="center"/>
    </xf>
    <xf numFmtId="0" fontId="12" fillId="11" borderId="34" xfId="0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/>
    </xf>
    <xf numFmtId="0" fontId="12" fillId="11" borderId="76" xfId="0" applyFont="1" applyFill="1" applyBorder="1" applyAlignment="1">
      <alignment horizontal="center"/>
    </xf>
    <xf numFmtId="181" fontId="5" fillId="0" borderId="82" xfId="0" applyNumberFormat="1" applyFont="1" applyBorder="1" applyAlignment="1">
      <alignment horizontal="right" vertical="center"/>
    </xf>
    <xf numFmtId="181" fontId="5" fillId="0" borderId="83" xfId="0" applyNumberFormat="1" applyFont="1" applyBorder="1" applyAlignment="1">
      <alignment horizontal="right" vertical="center"/>
    </xf>
    <xf numFmtId="181" fontId="5" fillId="0" borderId="66" xfId="0" applyNumberFormat="1" applyFont="1" applyBorder="1" applyAlignment="1">
      <alignment horizontal="right" vertical="center"/>
    </xf>
    <xf numFmtId="185" fontId="7" fillId="0" borderId="83" xfId="0" applyNumberFormat="1" applyFont="1" applyBorder="1" applyAlignment="1">
      <alignment horizontal="right" vertical="center"/>
    </xf>
    <xf numFmtId="185" fontId="7" fillId="0" borderId="66" xfId="0" applyNumberFormat="1" applyFont="1" applyBorder="1" applyAlignment="1">
      <alignment horizontal="right" vertical="center"/>
    </xf>
    <xf numFmtId="181" fontId="5" fillId="4" borderId="82" xfId="0" applyNumberFormat="1" applyFont="1" applyFill="1" applyBorder="1" applyAlignment="1">
      <alignment horizontal="right" vertical="center"/>
    </xf>
    <xf numFmtId="181" fontId="5" fillId="4" borderId="83" xfId="0" applyNumberFormat="1" applyFont="1" applyFill="1" applyBorder="1" applyAlignment="1">
      <alignment horizontal="right" vertical="center"/>
    </xf>
    <xf numFmtId="181" fontId="5" fillId="4" borderId="66" xfId="0" applyNumberFormat="1" applyFont="1" applyFill="1" applyBorder="1" applyAlignment="1">
      <alignment horizontal="right" vertical="center"/>
    </xf>
    <xf numFmtId="181" fontId="10" fillId="0" borderId="82" xfId="0" applyNumberFormat="1" applyFont="1" applyBorder="1" applyAlignment="1">
      <alignment horizontal="right" vertical="center"/>
    </xf>
    <xf numFmtId="181" fontId="10" fillId="0" borderId="83" xfId="0" applyNumberFormat="1" applyFont="1" applyBorder="1" applyAlignment="1">
      <alignment horizontal="right" vertical="center"/>
    </xf>
    <xf numFmtId="181" fontId="10" fillId="0" borderId="66" xfId="0" applyNumberFormat="1" applyFont="1" applyBorder="1" applyAlignment="1">
      <alignment horizontal="right" vertical="center"/>
    </xf>
    <xf numFmtId="181" fontId="10" fillId="4" borderId="82" xfId="0" applyNumberFormat="1" applyFont="1" applyFill="1" applyBorder="1" applyAlignment="1">
      <alignment horizontal="right" vertical="center"/>
    </xf>
    <xf numFmtId="181" fontId="10" fillId="4" borderId="83" xfId="0" applyNumberFormat="1" applyFont="1" applyFill="1" applyBorder="1" applyAlignment="1">
      <alignment horizontal="right" vertical="center"/>
    </xf>
    <xf numFmtId="181" fontId="10" fillId="4" borderId="66" xfId="0" applyNumberFormat="1" applyFont="1" applyFill="1" applyBorder="1" applyAlignment="1">
      <alignment horizontal="right" vertical="center"/>
    </xf>
    <xf numFmtId="0" fontId="0" fillId="0" borderId="83" xfId="0" applyBorder="1" applyAlignment="1">
      <alignment horizontal="right" vertical="center"/>
    </xf>
    <xf numFmtId="0" fontId="0" fillId="0" borderId="66" xfId="0" applyBorder="1" applyAlignment="1">
      <alignment horizontal="right" vertical="center"/>
    </xf>
    <xf numFmtId="0" fontId="13" fillId="11" borderId="34" xfId="0" applyFont="1" applyFill="1" applyBorder="1" applyAlignment="1">
      <alignment horizontal="center" vertical="center"/>
    </xf>
    <xf numFmtId="0" fontId="13" fillId="11" borderId="37" xfId="0" applyFont="1" applyFill="1" applyBorder="1" applyAlignment="1">
      <alignment horizontal="center" vertical="center"/>
    </xf>
    <xf numFmtId="0" fontId="13" fillId="11" borderId="76" xfId="0" applyFont="1" applyFill="1" applyBorder="1" applyAlignment="1">
      <alignment horizontal="center" vertical="center"/>
    </xf>
    <xf numFmtId="0" fontId="13" fillId="11" borderId="28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1" borderId="61" xfId="0" applyFont="1" applyFill="1" applyBorder="1" applyAlignment="1">
      <alignment horizontal="center" vertical="center"/>
    </xf>
    <xf numFmtId="0" fontId="13" fillId="11" borderId="35" xfId="0" applyFont="1" applyFill="1" applyBorder="1" applyAlignment="1">
      <alignment horizontal="center" vertical="center"/>
    </xf>
    <xf numFmtId="0" fontId="13" fillId="11" borderId="33" xfId="0" applyFont="1" applyFill="1" applyBorder="1" applyAlignment="1">
      <alignment horizontal="center" vertical="center"/>
    </xf>
    <xf numFmtId="0" fontId="13" fillId="11" borderId="67" xfId="0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76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13" fillId="10" borderId="61" xfId="0" applyFont="1" applyFill="1" applyBorder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3" xfId="0" applyFont="1" applyFill="1" applyBorder="1" applyAlignment="1">
      <alignment horizontal="center" vertical="center"/>
    </xf>
    <xf numFmtId="0" fontId="13" fillId="10" borderId="67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61" xfId="0" applyFont="1" applyFill="1" applyBorder="1" applyAlignment="1">
      <alignment horizontal="center" vertical="center"/>
    </xf>
    <xf numFmtId="0" fontId="5" fillId="4" borderId="8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61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4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0" fillId="0" borderId="153" xfId="0" applyFont="1" applyBorder="1" applyAlignment="1">
      <alignment horizontal="center" vertical="center"/>
    </xf>
    <xf numFmtId="0" fontId="10" fillId="0" borderId="151" xfId="0" applyFont="1" applyBorder="1" applyAlignment="1">
      <alignment horizontal="center" vertical="center"/>
    </xf>
    <xf numFmtId="185" fontId="5" fillId="4" borderId="82" xfId="0" applyNumberFormat="1" applyFont="1" applyFill="1" applyBorder="1" applyAlignment="1">
      <alignment horizontal="right" vertical="center"/>
    </xf>
    <xf numFmtId="185" fontId="5" fillId="4" borderId="83" xfId="0" applyNumberFormat="1" applyFont="1" applyFill="1" applyBorder="1" applyAlignment="1">
      <alignment horizontal="right" vertical="center"/>
    </xf>
    <xf numFmtId="185" fontId="5" fillId="4" borderId="66" xfId="0" applyNumberFormat="1" applyFont="1" applyFill="1" applyBorder="1" applyAlignment="1">
      <alignment horizontal="right" vertical="center"/>
    </xf>
    <xf numFmtId="185" fontId="5" fillId="0" borderId="82" xfId="0" applyNumberFormat="1" applyFont="1" applyBorder="1" applyAlignment="1">
      <alignment horizontal="right" vertical="center"/>
    </xf>
    <xf numFmtId="185" fontId="5" fillId="0" borderId="83" xfId="0" applyNumberFormat="1" applyFont="1" applyBorder="1" applyAlignment="1">
      <alignment horizontal="right" vertical="center"/>
    </xf>
    <xf numFmtId="185" fontId="5" fillId="0" borderId="66" xfId="0" applyNumberFormat="1" applyFont="1" applyBorder="1" applyAlignment="1">
      <alignment horizontal="right" vertical="center"/>
    </xf>
    <xf numFmtId="185" fontId="7" fillId="0" borderId="82" xfId="0" applyNumberFormat="1" applyFont="1" applyBorder="1" applyAlignment="1">
      <alignment horizontal="right" vertical="center"/>
    </xf>
    <xf numFmtId="185" fontId="7" fillId="4" borderId="82" xfId="0" applyNumberFormat="1" applyFont="1" applyFill="1" applyBorder="1" applyAlignment="1">
      <alignment horizontal="right" vertical="center"/>
    </xf>
    <xf numFmtId="185" fontId="7" fillId="4" borderId="83" xfId="0" applyNumberFormat="1" applyFont="1" applyFill="1" applyBorder="1" applyAlignment="1">
      <alignment horizontal="right" vertical="center"/>
    </xf>
    <xf numFmtId="185" fontId="7" fillId="4" borderId="66" xfId="0" applyNumberFormat="1" applyFont="1" applyFill="1" applyBorder="1" applyAlignment="1">
      <alignment horizontal="right" vertical="center"/>
    </xf>
    <xf numFmtId="185" fontId="47" fillId="5" borderId="0" xfId="0" applyNumberFormat="1" applyFont="1" applyFill="1" applyAlignment="1">
      <alignment horizontal="right"/>
    </xf>
    <xf numFmtId="0" fontId="60" fillId="0" borderId="0" xfId="1" quotePrefix="1" applyFont="1">
      <alignment vertical="center"/>
    </xf>
    <xf numFmtId="0" fontId="2" fillId="9" borderId="0" xfId="0" applyFont="1" applyFill="1" applyAlignment="1">
      <alignment horizontal="left" vertical="center"/>
    </xf>
    <xf numFmtId="0" fontId="2" fillId="9" borderId="0" xfId="0" applyFont="1" applyFill="1">
      <alignment vertical="center"/>
    </xf>
    <xf numFmtId="185" fontId="45" fillId="4" borderId="0" xfId="0" applyNumberFormat="1" applyFont="1" applyFill="1" applyBorder="1" applyAlignment="1">
      <alignment horizontal="right"/>
    </xf>
    <xf numFmtId="0" fontId="46" fillId="4" borderId="0" xfId="0" applyFont="1" applyFill="1" applyBorder="1" applyAlignment="1"/>
    <xf numFmtId="0" fontId="46" fillId="4" borderId="0" xfId="0" applyFont="1" applyFill="1" applyBorder="1" applyAlignment="1">
      <alignment horizontal="left"/>
    </xf>
    <xf numFmtId="185" fontId="45" fillId="4" borderId="0" xfId="0" applyNumberFormat="1" applyFont="1" applyFill="1" applyBorder="1" applyAlignment="1"/>
    <xf numFmtId="185" fontId="16" fillId="5" borderId="0" xfId="0" applyNumberFormat="1" applyFont="1" applyFill="1" applyAlignment="1">
      <alignment vertical="center"/>
    </xf>
    <xf numFmtId="181" fontId="59" fillId="5" borderId="0" xfId="0" applyNumberFormat="1" applyFont="1" applyFill="1" applyAlignment="1">
      <alignment horizontal="center" vertical="center"/>
    </xf>
    <xf numFmtId="0" fontId="40" fillId="0" borderId="98" xfId="0" applyFont="1" applyBorder="1" applyAlignment="1"/>
    <xf numFmtId="178" fontId="40" fillId="0" borderId="16" xfId="0" applyNumberFormat="1" applyFont="1" applyBorder="1" applyAlignment="1">
      <alignment horizontal="right" vertical="center"/>
    </xf>
    <xf numFmtId="0" fontId="45" fillId="4" borderId="0" xfId="0" applyFont="1" applyFill="1" applyBorder="1" applyAlignment="1"/>
    <xf numFmtId="0" fontId="44" fillId="4" borderId="0" xfId="0" applyFont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FCFB"/>
      <color rgb="FFFF6569"/>
      <color rgb="FFFFF8E5"/>
      <color rgb="FFD4E7C7"/>
      <color rgb="FFCDE4BE"/>
      <color rgb="FFFFAD53"/>
      <color rgb="FFFF941F"/>
      <color rgb="FFFFCF37"/>
      <color rgb="FF003399"/>
      <color rgb="FF826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941F">
                <a:alpha val="98000"/>
              </a:srgbClr>
            </a:solidFill>
          </c:spPr>
          <c:dPt>
            <c:idx val="0"/>
            <c:bubble3D val="0"/>
            <c:spPr>
              <a:solidFill>
                <a:srgbClr val="FF941F">
                  <a:alpha val="98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D-43C2-BD22-7572B18B0BD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9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AD-43C2-BD22-7572B18B0BD0}"/>
              </c:ext>
            </c:extLst>
          </c:dPt>
          <c:dLbls>
            <c:delete val="1"/>
          </c:dLbls>
          <c:val>
            <c:numRef>
              <c:f>(표지!$C$18,표지!$C$20)</c:f>
              <c:numCache>
                <c:formatCode>#,##0;[Red]#,##0</c:formatCode>
                <c:ptCount val="2"/>
                <c:pt idx="0">
                  <c:v>450000</c:v>
                </c:pt>
                <c:pt idx="1">
                  <c:v>54000000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D-43C2-BD22-7572B18B0BD0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noFill/>
            <a:ln w="15875" cap="rnd">
              <a:solidFill>
                <a:srgbClr val="FF941F">
                  <a:alpha val="70000"/>
                </a:srgbClr>
              </a:solidFill>
            </a:ln>
            <a:effectLst>
              <a:outerShdw sx="1000" sy="1000" algn="ctr" rotWithShape="0">
                <a:srgbClr val="000000"/>
              </a:outerShdw>
            </a:effectLst>
          </c:spPr>
          <c:cat>
            <c:strRef>
              <c:f>'표지 그래프'!$A$2:$A$7</c:f>
              <c:strCache>
                <c:ptCount val="6"/>
                <c:pt idx="0">
                  <c:v>후유장해</c:v>
                </c:pt>
                <c:pt idx="1">
                  <c:v>암</c:v>
                </c:pt>
                <c:pt idx="2">
                  <c:v>심장</c:v>
                </c:pt>
                <c:pt idx="3">
                  <c:v>뇌</c:v>
                </c:pt>
                <c:pt idx="4">
                  <c:v>수술</c:v>
                </c:pt>
                <c:pt idx="5">
                  <c:v>입원</c:v>
                </c:pt>
              </c:strCache>
            </c:strRef>
          </c:cat>
          <c:val>
            <c:numRef>
              <c:f>'표지 그래프'!$D$2:$D$7</c:f>
              <c:numCache>
                <c:formatCode>General</c:formatCode>
                <c:ptCount val="6"/>
                <c:pt idx="0">
                  <c:v>0</c:v>
                </c:pt>
                <c:pt idx="1">
                  <c:v>0.3</c:v>
                </c:pt>
                <c:pt idx="2">
                  <c:v>0</c:v>
                </c:pt>
                <c:pt idx="3">
                  <c:v>0.33333333333333331</c:v>
                </c:pt>
                <c:pt idx="4">
                  <c:v>0.5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B-4645-9E10-52564AC69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6096"/>
        <c:axId val="140076576"/>
      </c:radarChart>
      <c:catAx>
        <c:axId val="1400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j-ea"/>
                <a:ea typeface="+mj-ea"/>
                <a:cs typeface="+mn-cs"/>
              </a:defRPr>
            </a:pPr>
            <a:endParaRPr lang="ko-KR"/>
          </a:p>
        </c:txPr>
        <c:crossAx val="140076576"/>
        <c:crosses val="autoZero"/>
        <c:auto val="1"/>
        <c:lblAlgn val="ctr"/>
        <c:lblOffset val="100"/>
        <c:noMultiLvlLbl val="0"/>
      </c:catAx>
      <c:valAx>
        <c:axId val="140076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0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blog.naver.com/g__tree_" TargetMode="External"/><Relationship Id="rId7" Type="http://schemas.openxmlformats.org/officeDocument/2006/relationships/hyperlink" Target="https://www.instagram.com/g__tree_/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litt.ly/insurance_tree_?fbclid=PAZXh0bgNhZW0CMTEAc3J0YwZhcHBfaWQMMjU2MjgxMDQwNTU4AAGnOHjFCQga0L-gTTZVGs6xYdwhNf8E0xKRZLEDUcaXqKasfFbFHrQqirJyIeY_aem_1Xy48h9w1hyEtKnKIh6BQw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open.kakao.com/o/gD7ej63h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www.youtube.com/@%EB%B3%B4%ED%97%98%EB%82%98%EB%AC%B4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345280</xdr:colOff>
      <xdr:row>4</xdr:row>
      <xdr:rowOff>66835</xdr:rowOff>
    </xdr:from>
    <xdr:to>
      <xdr:col>5</xdr:col>
      <xdr:colOff>11587</xdr:colOff>
      <xdr:row>4</xdr:row>
      <xdr:rowOff>2525477</xdr:rowOff>
    </xdr:to>
    <xdr:pic>
      <xdr:nvPicPr>
        <xdr:cNvPr id="2" name="그림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F1BBD-CD62-491F-93E7-16502A4A2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0" y="1119348"/>
          <a:ext cx="3823970" cy="2463404"/>
        </a:xfrm>
        <a:prstGeom prst="rect">
          <a:avLst/>
        </a:prstGeom>
      </xdr:spPr>
    </xdr:pic>
    <xdr:clientData/>
  </xdr:twoCellAnchor>
  <xdr:twoCellAnchor editAs="absolute">
    <xdr:from>
      <xdr:col>3</xdr:col>
      <xdr:colOff>95249</xdr:colOff>
      <xdr:row>4</xdr:row>
      <xdr:rowOff>2607525</xdr:rowOff>
    </xdr:from>
    <xdr:to>
      <xdr:col>3</xdr:col>
      <xdr:colOff>856399</xdr:colOff>
      <xdr:row>6</xdr:row>
      <xdr:rowOff>49213</xdr:rowOff>
    </xdr:to>
    <xdr:pic>
      <xdr:nvPicPr>
        <xdr:cNvPr id="3" name="그림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103386-F7D3-4FCE-9FF6-02A084CCC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660038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1</xdr:col>
      <xdr:colOff>107138</xdr:colOff>
      <xdr:row>4</xdr:row>
      <xdr:rowOff>2609886</xdr:rowOff>
    </xdr:from>
    <xdr:to>
      <xdr:col>1</xdr:col>
      <xdr:colOff>868288</xdr:colOff>
      <xdr:row>6</xdr:row>
      <xdr:rowOff>56336</xdr:rowOff>
    </xdr:to>
    <xdr:pic>
      <xdr:nvPicPr>
        <xdr:cNvPr id="4" name="그림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1F1267-FA56-46AE-875E-96F4A95B3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1" y="3667161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2</xdr:col>
      <xdr:colOff>104738</xdr:colOff>
      <xdr:row>4</xdr:row>
      <xdr:rowOff>2617010</xdr:rowOff>
    </xdr:from>
    <xdr:to>
      <xdr:col>2</xdr:col>
      <xdr:colOff>865888</xdr:colOff>
      <xdr:row>6</xdr:row>
      <xdr:rowOff>58698</xdr:rowOff>
    </xdr:to>
    <xdr:pic>
      <xdr:nvPicPr>
        <xdr:cNvPr id="5" name="그림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773A19-C291-4913-84B9-67643442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39" y="3669523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4</xdr:col>
      <xdr:colOff>97577</xdr:colOff>
      <xdr:row>4</xdr:row>
      <xdr:rowOff>2609851</xdr:rowOff>
    </xdr:from>
    <xdr:to>
      <xdr:col>4</xdr:col>
      <xdr:colOff>858727</xdr:colOff>
      <xdr:row>6</xdr:row>
      <xdr:rowOff>56301</xdr:rowOff>
    </xdr:to>
    <xdr:pic>
      <xdr:nvPicPr>
        <xdr:cNvPr id="6" name="그림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3FED9B-1044-4F86-B751-3F8982B4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978" y="3667126"/>
          <a:ext cx="761150" cy="761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61635</xdr:colOff>
      <xdr:row>4</xdr:row>
      <xdr:rowOff>178083</xdr:rowOff>
    </xdr:from>
    <xdr:to>
      <xdr:col>4</xdr:col>
      <xdr:colOff>733144</xdr:colOff>
      <xdr:row>5</xdr:row>
      <xdr:rowOff>392204</xdr:rowOff>
    </xdr:to>
    <xdr:pic>
      <xdr:nvPicPr>
        <xdr:cNvPr id="2" name="그림 1" descr="키보드의 Ctrl C Ctrl V 키 키 조합 복사 및 붙여넣기 Windows 장치용 키보드 단축키 삽입 컴퓨터 키보드 아이콘 벡터  그림 | 프리미엄 벡터">
          <a:extLst>
            <a:ext uri="{FF2B5EF4-FFF2-40B4-BE49-F238E27FC236}">
              <a16:creationId xmlns:a16="http://schemas.microsoft.com/office/drawing/2014/main" id="{7EF681CE-289A-4EE9-A428-CC36DB3E8B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300"/>
        <a:stretch>
          <a:fillRect/>
        </a:stretch>
      </xdr:blipFill>
      <xdr:spPr bwMode="auto">
        <a:xfrm>
          <a:off x="3328710" y="4035708"/>
          <a:ext cx="1019172" cy="428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240085</xdr:colOff>
      <xdr:row>4</xdr:row>
      <xdr:rowOff>11206</xdr:rowOff>
    </xdr:from>
    <xdr:to>
      <xdr:col>13</xdr:col>
      <xdr:colOff>459442</xdr:colOff>
      <xdr:row>5</xdr:row>
      <xdr:rowOff>56030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F7BD6A-1B26-4F5B-BAD1-814CA84F2E36}"/>
            </a:ext>
          </a:extLst>
        </xdr:cNvPr>
        <xdr:cNvSpPr/>
      </xdr:nvSpPr>
      <xdr:spPr>
        <a:xfrm>
          <a:off x="6560203" y="907677"/>
          <a:ext cx="5004268" cy="3585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>
              <a:solidFill>
                <a:schemeClr val="tx1"/>
              </a:solidFill>
            </a:rPr>
            <a:t>⭐</a:t>
          </a:r>
          <a:r>
            <a:rPr lang="ko-KR" altLang="en-US" sz="1100">
              <a:solidFill>
                <a:schemeClr val="tx1"/>
              </a:solidFill>
            </a:rPr>
            <a:t>고객상담일지에 이름입력하면</a:t>
          </a:r>
          <a:r>
            <a:rPr lang="en-US" altLang="ko-KR" sz="1100">
              <a:solidFill>
                <a:schemeClr val="tx1"/>
              </a:solidFill>
            </a:rPr>
            <a:t> </a:t>
          </a:r>
          <a:r>
            <a:rPr lang="ko-KR" altLang="en-US" sz="1100">
              <a:solidFill>
                <a:schemeClr val="tx1"/>
              </a:solidFill>
            </a:rPr>
            <a:t>전체 시트 고객님 이름 자동 변경됩니다</a:t>
          </a:r>
          <a:endParaRPr lang="en-US" altLang="ko-KR" sz="1100">
            <a:solidFill>
              <a:schemeClr val="tx1"/>
            </a:solidFill>
          </a:endParaRPr>
        </a:p>
        <a:p>
          <a:pPr algn="l"/>
          <a:endParaRPr lang="en-US" altLang="ko-KR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356905</xdr:colOff>
      <xdr:row>12</xdr:row>
      <xdr:rowOff>318526</xdr:rowOff>
    </xdr:from>
    <xdr:to>
      <xdr:col>5</xdr:col>
      <xdr:colOff>459441</xdr:colOff>
      <xdr:row>20</xdr:row>
      <xdr:rowOff>139231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89C5C37-C92C-0B20-5FA4-A5C14159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456079</xdr:colOff>
      <xdr:row>11</xdr:row>
      <xdr:rowOff>94409</xdr:rowOff>
    </xdr:from>
    <xdr:to>
      <xdr:col>5</xdr:col>
      <xdr:colOff>552169</xdr:colOff>
      <xdr:row>21</xdr:row>
      <xdr:rowOff>11206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EE8CE05A-FEAE-DCF8-533F-F0BB4323F038}"/>
            </a:ext>
          </a:extLst>
        </xdr:cNvPr>
        <xdr:cNvSpPr/>
      </xdr:nvSpPr>
      <xdr:spPr>
        <a:xfrm>
          <a:off x="456079" y="4610380"/>
          <a:ext cx="3525090" cy="2135561"/>
        </a:xfrm>
        <a:prstGeom prst="roundRect">
          <a:avLst>
            <a:gd name="adj" fmla="val 11123"/>
          </a:avLst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14</xdr:col>
      <xdr:colOff>161646</xdr:colOff>
      <xdr:row>5</xdr:row>
      <xdr:rowOff>398546</xdr:rowOff>
    </xdr:from>
    <xdr:to>
      <xdr:col>15</xdr:col>
      <xdr:colOff>420724</xdr:colOff>
      <xdr:row>7</xdr:row>
      <xdr:rowOff>134168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715D4F3-8A45-C136-55E4-511E84DD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9046" y="1541546"/>
          <a:ext cx="944878" cy="926247"/>
        </a:xfrm>
        <a:prstGeom prst="rect">
          <a:avLst/>
        </a:prstGeom>
      </xdr:spPr>
    </xdr:pic>
    <xdr:clientData/>
  </xdr:twoCellAnchor>
  <xdr:twoCellAnchor editAs="oneCell">
    <xdr:from>
      <xdr:col>12</xdr:col>
      <xdr:colOff>503705</xdr:colOff>
      <xdr:row>5</xdr:row>
      <xdr:rowOff>484954</xdr:rowOff>
    </xdr:from>
    <xdr:to>
      <xdr:col>14</xdr:col>
      <xdr:colOff>67164</xdr:colOff>
      <xdr:row>7</xdr:row>
      <xdr:rowOff>209708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5C39711-9E2A-72C4-4E54-C46818F8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9505" y="1627954"/>
          <a:ext cx="935059" cy="915379"/>
        </a:xfrm>
        <a:prstGeom prst="rect">
          <a:avLst/>
        </a:prstGeom>
      </xdr:spPr>
    </xdr:pic>
    <xdr:clientData/>
  </xdr:twoCellAnchor>
  <xdr:twoCellAnchor editAs="oneCell">
    <xdr:from>
      <xdr:col>14</xdr:col>
      <xdr:colOff>153799</xdr:colOff>
      <xdr:row>2</xdr:row>
      <xdr:rowOff>181193</xdr:rowOff>
    </xdr:from>
    <xdr:to>
      <xdr:col>15</xdr:col>
      <xdr:colOff>408114</xdr:colOff>
      <xdr:row>5</xdr:row>
      <xdr:rowOff>407925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399B8FC-6D93-AF06-39B9-AD8458843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1199" y="619343"/>
          <a:ext cx="940115" cy="926820"/>
        </a:xfrm>
        <a:prstGeom prst="rect">
          <a:avLst/>
        </a:prstGeom>
      </xdr:spPr>
    </xdr:pic>
    <xdr:clientData/>
  </xdr:twoCellAnchor>
  <xdr:twoCellAnchor editAs="oneCell">
    <xdr:from>
      <xdr:col>12</xdr:col>
      <xdr:colOff>369512</xdr:colOff>
      <xdr:row>2</xdr:row>
      <xdr:rowOff>9525</xdr:rowOff>
    </xdr:from>
    <xdr:to>
      <xdr:col>14</xdr:col>
      <xdr:colOff>296617</xdr:colOff>
      <xdr:row>5</xdr:row>
      <xdr:rowOff>599486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AD3CFB8-5DA9-763E-6FD9-03BC8230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5312" y="447675"/>
          <a:ext cx="1298705" cy="1294811"/>
        </a:xfrm>
        <a:prstGeom prst="rect">
          <a:avLst/>
        </a:prstGeom>
      </xdr:spPr>
    </xdr:pic>
    <xdr:clientData/>
  </xdr:twoCellAnchor>
  <xdr:twoCellAnchor>
    <xdr:from>
      <xdr:col>5</xdr:col>
      <xdr:colOff>684959</xdr:colOff>
      <xdr:row>11</xdr:row>
      <xdr:rowOff>103933</xdr:rowOff>
    </xdr:from>
    <xdr:to>
      <xdr:col>10</xdr:col>
      <xdr:colOff>190500</xdr:colOff>
      <xdr:row>21</xdr:row>
      <xdr:rowOff>11206</xdr:rowOff>
    </xdr:to>
    <xdr:sp macro="" textlink="">
      <xdr:nvSpPr>
        <xdr:cNvPr id="40" name="사각형: 둥근 모서리 39">
          <a:extLst>
            <a:ext uri="{FF2B5EF4-FFF2-40B4-BE49-F238E27FC236}">
              <a16:creationId xmlns:a16="http://schemas.microsoft.com/office/drawing/2014/main" id="{AC45C555-A80F-477E-A60F-967C99460A2F}"/>
            </a:ext>
          </a:extLst>
        </xdr:cNvPr>
        <xdr:cNvSpPr/>
      </xdr:nvSpPr>
      <xdr:spPr>
        <a:xfrm>
          <a:off x="4113959" y="4619904"/>
          <a:ext cx="2710423" cy="2126037"/>
        </a:xfrm>
        <a:prstGeom prst="roundRect">
          <a:avLst>
            <a:gd name="adj" fmla="val 11123"/>
          </a:avLst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494280</xdr:colOff>
      <xdr:row>22</xdr:row>
      <xdr:rowOff>209550</xdr:rowOff>
    </xdr:from>
    <xdr:to>
      <xdr:col>9</xdr:col>
      <xdr:colOff>666206</xdr:colOff>
      <xdr:row>32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A7B9E141-1D09-5246-B2BA-C37075300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5" t="27513" r="10432" b="27962"/>
        <a:stretch>
          <a:fillRect/>
        </a:stretch>
      </xdr:blipFill>
      <xdr:spPr>
        <a:xfrm>
          <a:off x="494280" y="5819775"/>
          <a:ext cx="6420326" cy="2133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172812</xdr:colOff>
      <xdr:row>33</xdr:row>
      <xdr:rowOff>110927</xdr:rowOff>
    </xdr:from>
    <xdr:to>
      <xdr:col>4</xdr:col>
      <xdr:colOff>27895</xdr:colOff>
      <xdr:row>40</xdr:row>
      <xdr:rowOff>154440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767CB8A4-F412-AC7F-7A2D-B8D7E0ACE0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0" t="15829" r="5525" b="20087"/>
        <a:stretch>
          <a:fillRect/>
        </a:stretch>
      </xdr:blipFill>
      <xdr:spPr>
        <a:xfrm>
          <a:off x="172812" y="8003070"/>
          <a:ext cx="3093583" cy="2179834"/>
        </a:xfrm>
        <a:prstGeom prst="rect">
          <a:avLst/>
        </a:prstGeom>
      </xdr:spPr>
    </xdr:pic>
    <xdr:clientData/>
  </xdr:twoCellAnchor>
  <xdr:twoCellAnchor>
    <xdr:from>
      <xdr:col>5</xdr:col>
      <xdr:colOff>419098</xdr:colOff>
      <xdr:row>12</xdr:row>
      <xdr:rowOff>0</xdr:rowOff>
    </xdr:from>
    <xdr:to>
      <xdr:col>10</xdr:col>
      <xdr:colOff>438150</xdr:colOff>
      <xdr:row>20</xdr:row>
      <xdr:rowOff>161926</xdr:rowOff>
    </xdr:to>
    <xdr:graphicFrame macro="">
      <xdr:nvGraphicFramePr>
        <xdr:cNvPr id="53" name="차트 52">
          <a:extLst>
            <a:ext uri="{FF2B5EF4-FFF2-40B4-BE49-F238E27FC236}">
              <a16:creationId xmlns:a16="http://schemas.microsoft.com/office/drawing/2014/main" id="{DB9EAC3C-D136-407B-BE1C-9E6EC3C59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409575</xdr:colOff>
      <xdr:row>4</xdr:row>
      <xdr:rowOff>161925</xdr:rowOff>
    </xdr:from>
    <xdr:to>
      <xdr:col>10</xdr:col>
      <xdr:colOff>276225</xdr:colOff>
      <xdr:row>6</xdr:row>
      <xdr:rowOff>47625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517C4AFA-0E19-885D-1C85-BAD78CDEB969}"/>
            </a:ext>
          </a:extLst>
        </xdr:cNvPr>
        <xdr:cNvSpPr/>
      </xdr:nvSpPr>
      <xdr:spPr>
        <a:xfrm>
          <a:off x="409575" y="1085850"/>
          <a:ext cx="6629400" cy="1009650"/>
        </a:xfrm>
        <a:prstGeom prst="rect">
          <a:avLst/>
        </a:prstGeom>
        <a:solidFill>
          <a:srgbClr val="FFFC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300" b="1">
              <a:solidFill>
                <a:srgbClr val="FF941F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보장분석 </a:t>
          </a:r>
          <a:r>
            <a:rPr lang="ko-KR" altLang="en-US" sz="4300" b="1">
              <a:solidFill>
                <a:srgbClr val="8263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리포트</a:t>
          </a:r>
          <a:endParaRPr lang="en-US" altLang="ko-KR" sz="4300" b="1">
            <a:solidFill>
              <a:srgbClr val="8263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15</xdr:col>
      <xdr:colOff>504825</xdr:colOff>
      <xdr:row>2</xdr:row>
      <xdr:rowOff>161925</xdr:rowOff>
    </xdr:from>
    <xdr:to>
      <xdr:col>17</xdr:col>
      <xdr:colOff>104348</xdr:colOff>
      <xdr:row>5</xdr:row>
      <xdr:rowOff>331562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6D3B96A-5A3F-91AC-24AA-251859304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7" t="13949" r="11892" b="12723"/>
        <a:stretch>
          <a:fillRect/>
        </a:stretch>
      </xdr:blipFill>
      <xdr:spPr>
        <a:xfrm>
          <a:off x="10868025" y="600075"/>
          <a:ext cx="971123" cy="874487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533401</xdr:colOff>
      <xdr:row>5</xdr:row>
      <xdr:rowOff>542925</xdr:rowOff>
    </xdr:from>
    <xdr:to>
      <xdr:col>17</xdr:col>
      <xdr:colOff>134321</xdr:colOff>
      <xdr:row>7</xdr:row>
      <xdr:rowOff>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6AF8318A-6B2D-0493-0E98-BCA669CDC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42" b="14939"/>
        <a:stretch>
          <a:fillRect/>
        </a:stretch>
      </xdr:blipFill>
      <xdr:spPr>
        <a:xfrm>
          <a:off x="10896601" y="1685925"/>
          <a:ext cx="972520" cy="647700"/>
        </a:xfrm>
        <a:prstGeom prst="rect">
          <a:avLst/>
        </a:prstGeom>
      </xdr:spPr>
    </xdr:pic>
    <xdr:clientData/>
  </xdr:twoCellAnchor>
  <xdr:twoCellAnchor>
    <xdr:from>
      <xdr:col>11</xdr:col>
      <xdr:colOff>361950</xdr:colOff>
      <xdr:row>10</xdr:row>
      <xdr:rowOff>104776</xdr:rowOff>
    </xdr:from>
    <xdr:to>
      <xdr:col>16</xdr:col>
      <xdr:colOff>285750</xdr:colOff>
      <xdr:row>14</xdr:row>
      <xdr:rowOff>114301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F7757CB4-D15C-4089-89CF-A38CEC93DDCF}"/>
            </a:ext>
          </a:extLst>
        </xdr:cNvPr>
        <xdr:cNvSpPr/>
      </xdr:nvSpPr>
      <xdr:spPr>
        <a:xfrm>
          <a:off x="7981950" y="3095626"/>
          <a:ext cx="3352800" cy="876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>
              <a:solidFill>
                <a:schemeClr val="tx1"/>
              </a:solidFill>
            </a:rPr>
            <a:t>⭐</a:t>
          </a:r>
          <a:r>
            <a:rPr lang="ko-KR" altLang="en-US" b="1">
              <a:solidFill>
                <a:srgbClr val="FF0000"/>
              </a:solidFill>
            </a:rPr>
            <a:t>보험현황</a:t>
          </a:r>
          <a:r>
            <a:rPr lang="en-US" altLang="ko-KR" b="1">
              <a:solidFill>
                <a:srgbClr val="FF0000"/>
              </a:solidFill>
            </a:rPr>
            <a:t>, </a:t>
          </a:r>
          <a:r>
            <a:rPr lang="ko-KR" altLang="en-US" b="1">
              <a:solidFill>
                <a:srgbClr val="FF0000"/>
              </a:solidFill>
            </a:rPr>
            <a:t>그래프 수정 </a:t>
          </a:r>
          <a:r>
            <a:rPr lang="en-US" altLang="ko-KR" b="1">
              <a:solidFill>
                <a:srgbClr val="FF0000"/>
              </a:solidFill>
            </a:rPr>
            <a:t>X</a:t>
          </a:r>
          <a:r>
            <a:rPr lang="en-US" altLang="ko-KR">
              <a:solidFill>
                <a:schemeClr val="tx1"/>
              </a:solidFill>
            </a:rPr>
            <a:t> (</a:t>
          </a:r>
          <a:r>
            <a:rPr lang="ko-KR" altLang="en-US">
              <a:solidFill>
                <a:schemeClr val="tx1"/>
              </a:solidFill>
            </a:rPr>
            <a:t>값 자동 추출</a:t>
          </a:r>
          <a:r>
            <a:rPr lang="en-US" altLang="ko-KR">
              <a:solidFill>
                <a:schemeClr val="tx1"/>
              </a:solidFill>
            </a:rPr>
            <a:t>)</a:t>
          </a:r>
        </a:p>
        <a:p>
          <a:pPr algn="l"/>
          <a:r>
            <a:rPr lang="ko-KR" altLang="en-US" sz="1100">
              <a:solidFill>
                <a:schemeClr val="tx1"/>
              </a:solidFill>
            </a:rPr>
            <a:t>고객상담일지에 이름입력하면</a:t>
          </a:r>
          <a:r>
            <a:rPr lang="en-US" altLang="ko-KR" sz="1100">
              <a:solidFill>
                <a:schemeClr val="tx1"/>
              </a:solidFill>
            </a:rPr>
            <a:t> </a:t>
          </a:r>
          <a:r>
            <a:rPr lang="ko-KR" altLang="en-US" sz="1100">
              <a:solidFill>
                <a:schemeClr val="tx1"/>
              </a:solidFill>
            </a:rPr>
            <a:t>자동 입력됩니다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ko-KR" altLang="en-US" sz="1100" baseline="0">
              <a:solidFill>
                <a:schemeClr val="tx1"/>
              </a:solidFill>
            </a:rPr>
            <a:t>보장분석표 입력하시면 내용 자동 변경됩니다</a:t>
          </a:r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899549</xdr:colOff>
      <xdr:row>11</xdr:row>
      <xdr:rowOff>94408</xdr:rowOff>
    </xdr:from>
    <xdr:to>
      <xdr:col>9</xdr:col>
      <xdr:colOff>1101256</xdr:colOff>
      <xdr:row>21</xdr:row>
      <xdr:rowOff>44823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11E88B5-7C22-42D7-8F12-4F515F39CC93}"/>
            </a:ext>
          </a:extLst>
        </xdr:cNvPr>
        <xdr:cNvSpPr/>
      </xdr:nvSpPr>
      <xdr:spPr>
        <a:xfrm>
          <a:off x="10368520" y="2839849"/>
          <a:ext cx="3810001" cy="21915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chemeClr val="tx1"/>
              </a:solidFill>
            </a:rPr>
            <a:t>특약이름은 바꿔서 사용하시면 됩니다</a:t>
          </a:r>
          <a:endParaRPr lang="en-US" altLang="ko-KR" sz="1100" b="1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ex.</a:t>
          </a:r>
          <a:r>
            <a:rPr lang="en-US" altLang="ko-KR" sz="1100" baseline="0">
              <a:solidFill>
                <a:schemeClr val="tx1"/>
              </a:solidFill>
            </a:rPr>
            <a:t> 2</a:t>
          </a:r>
          <a:r>
            <a:rPr lang="ko-KR" altLang="en-US" sz="1100" baseline="0">
              <a:solidFill>
                <a:schemeClr val="tx1"/>
              </a:solidFill>
            </a:rPr>
            <a:t>대 주요 치료비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순환계 치료비</a:t>
          </a:r>
          <a:endParaRPr lang="en-US" altLang="ko-KR" sz="1100" baseline="0">
            <a:solidFill>
              <a:schemeClr val="tx1"/>
            </a:solidFill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1" baseline="0">
              <a:solidFill>
                <a:schemeClr val="tx1"/>
              </a:solidFill>
            </a:rPr>
            <a:t>금액</a:t>
          </a:r>
          <a:r>
            <a:rPr lang="en-US" altLang="ko-KR" sz="1100" b="1" baseline="0">
              <a:solidFill>
                <a:schemeClr val="tx1"/>
              </a:solidFill>
            </a:rPr>
            <a:t>, </a:t>
          </a:r>
          <a:r>
            <a:rPr lang="ko-KR" altLang="en-US" sz="1100" b="1" baseline="0">
              <a:solidFill>
                <a:schemeClr val="tx1"/>
              </a:solidFill>
            </a:rPr>
            <a:t>납입기간은 은 </a:t>
          </a:r>
          <a:r>
            <a:rPr lang="ko-KR" altLang="en-US" sz="1100" b="1" baseline="0">
              <a:solidFill>
                <a:srgbClr val="FF0000"/>
              </a:solidFill>
            </a:rPr>
            <a:t>숫자만 입력 </a:t>
          </a:r>
          <a:r>
            <a:rPr lang="ko-KR" altLang="en-US" sz="1100" b="1" baseline="0">
              <a:solidFill>
                <a:schemeClr val="tx1"/>
              </a:solidFill>
            </a:rPr>
            <a:t>하시면 됩니다</a:t>
          </a:r>
          <a:endParaRPr lang="en-US" altLang="ko-KR" sz="1100" b="1" baseline="0">
            <a:solidFill>
              <a:schemeClr val="tx1"/>
            </a:solidFill>
          </a:endParaRPr>
        </a:p>
        <a:p>
          <a:pPr algn="l"/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숫자 외 텍스트를 입력할 경우 수식이 작동하지 않습니다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1" baseline="0">
              <a:solidFill>
                <a:srgbClr val="FF0000"/>
              </a:solidFill>
            </a:rPr>
            <a:t>보장 총합계 </a:t>
          </a:r>
          <a:r>
            <a:rPr lang="en-US" altLang="ko-KR" sz="1100" b="1" baseline="0">
              <a:solidFill>
                <a:srgbClr val="FF0000"/>
              </a:solidFill>
            </a:rPr>
            <a:t>/</a:t>
          </a:r>
          <a:r>
            <a:rPr lang="ko-KR" altLang="en-US" sz="1100" b="1" baseline="0">
              <a:solidFill>
                <a:srgbClr val="FF0000"/>
              </a:solidFill>
            </a:rPr>
            <a:t> 월 보험료 합계 </a:t>
          </a:r>
          <a:r>
            <a:rPr lang="en-US" altLang="ko-KR" sz="1100" b="1" baseline="0">
              <a:solidFill>
                <a:srgbClr val="FF0000"/>
              </a:solidFill>
            </a:rPr>
            <a:t>/ </a:t>
          </a:r>
          <a:r>
            <a:rPr lang="ko-KR" altLang="en-US" sz="1100" b="1" baseline="0">
              <a:solidFill>
                <a:srgbClr val="FF0000"/>
              </a:solidFill>
            </a:rPr>
            <a:t>납입예정 수정 금지</a:t>
          </a:r>
          <a:endParaRPr lang="en-US" altLang="ko-KR" sz="1100" b="1" baseline="0">
            <a:solidFill>
              <a:srgbClr val="FF0000"/>
            </a:solidFill>
          </a:endParaRPr>
        </a:p>
        <a:p>
          <a:pPr algn="l"/>
          <a:r>
            <a:rPr lang="ko-KR" altLang="en-US" sz="1100" b="1" baseline="0">
              <a:solidFill>
                <a:srgbClr val="FF0000"/>
              </a:solidFill>
            </a:rPr>
            <a:t>자동 계산됩니다 </a:t>
          </a:r>
          <a:r>
            <a:rPr lang="en-US" altLang="ko-KR" sz="1100" b="1" baseline="0">
              <a:solidFill>
                <a:schemeClr val="tx1"/>
              </a:solidFill>
            </a:rPr>
            <a:t>(</a:t>
          </a:r>
          <a:r>
            <a:rPr lang="ko-KR" altLang="en-US" sz="1100" b="1" baseline="0">
              <a:solidFill>
                <a:schemeClr val="tx1"/>
              </a:solidFill>
            </a:rPr>
            <a:t>회사명 아래가 보장 총합계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</a:p>
        <a:p>
          <a:pPr algn="l"/>
          <a:r>
            <a:rPr lang="ko-KR" altLang="en-US" sz="1100" baseline="0">
              <a:solidFill>
                <a:schemeClr val="tx1"/>
              </a:solidFill>
            </a:rPr>
            <a:t>이 메모는 지우고 사용하시면 됩니다 </a:t>
          </a:r>
          <a:r>
            <a:rPr lang="en-US" altLang="ko-KR" sz="1100" baseline="0">
              <a:solidFill>
                <a:schemeClr val="tx1"/>
              </a:solidFill>
            </a:rPr>
            <a:t>!</a:t>
          </a:r>
        </a:p>
      </xdr:txBody>
    </xdr:sp>
    <xdr:clientData/>
  </xdr:twoCellAnchor>
  <xdr:twoCellAnchor editAs="oneCell">
    <xdr:from>
      <xdr:col>0</xdr:col>
      <xdr:colOff>414618</xdr:colOff>
      <xdr:row>0</xdr:row>
      <xdr:rowOff>59109</xdr:rowOff>
    </xdr:from>
    <xdr:to>
      <xdr:col>1</xdr:col>
      <xdr:colOff>1353446</xdr:colOff>
      <xdr:row>1</xdr:row>
      <xdr:rowOff>684834</xdr:rowOff>
    </xdr:to>
    <xdr:pic>
      <xdr:nvPicPr>
        <xdr:cNvPr id="9" name="그림 8" descr="서비스를 '분석'하는 방법">
          <a:extLst>
            <a:ext uri="{FF2B5EF4-FFF2-40B4-BE49-F238E27FC236}">
              <a16:creationId xmlns:a16="http://schemas.microsoft.com/office/drawing/2014/main" id="{6FFAE58C-63BE-F05E-9F35-0364ADCA09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7068" r="2777" b="9299"/>
        <a:stretch>
          <a:fillRect/>
        </a:stretch>
      </xdr:blipFill>
      <xdr:spPr bwMode="auto">
        <a:xfrm>
          <a:off x="414618" y="59109"/>
          <a:ext cx="1443093" cy="849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899549</xdr:colOff>
      <xdr:row>11</xdr:row>
      <xdr:rowOff>94408</xdr:rowOff>
    </xdr:from>
    <xdr:to>
      <xdr:col>9</xdr:col>
      <xdr:colOff>1101256</xdr:colOff>
      <xdr:row>21</xdr:row>
      <xdr:rowOff>44823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66B357-1863-42B2-9C9D-92A68FCAC564}"/>
            </a:ext>
          </a:extLst>
        </xdr:cNvPr>
        <xdr:cNvSpPr/>
      </xdr:nvSpPr>
      <xdr:spPr>
        <a:xfrm>
          <a:off x="10362636" y="2789983"/>
          <a:ext cx="3802157" cy="21459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chemeClr val="tx1"/>
              </a:solidFill>
            </a:rPr>
            <a:t>특약이름은 바꿔서 사용하시면 됩니다</a:t>
          </a:r>
          <a:endParaRPr lang="en-US" altLang="ko-KR" sz="1100" b="1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ex.</a:t>
          </a:r>
          <a:r>
            <a:rPr lang="en-US" altLang="ko-KR" sz="1100" baseline="0">
              <a:solidFill>
                <a:schemeClr val="tx1"/>
              </a:solidFill>
            </a:rPr>
            <a:t> 2</a:t>
          </a:r>
          <a:r>
            <a:rPr lang="ko-KR" altLang="en-US" sz="1100" baseline="0">
              <a:solidFill>
                <a:schemeClr val="tx1"/>
              </a:solidFill>
            </a:rPr>
            <a:t>대 주요 치료비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순환계 치료비</a:t>
          </a:r>
          <a:endParaRPr lang="en-US" altLang="ko-KR" sz="1100" baseline="0">
            <a:solidFill>
              <a:schemeClr val="tx1"/>
            </a:solidFill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1" baseline="0">
              <a:solidFill>
                <a:schemeClr val="tx1"/>
              </a:solidFill>
            </a:rPr>
            <a:t>금액</a:t>
          </a:r>
          <a:r>
            <a:rPr lang="en-US" altLang="ko-KR" sz="1100" b="1" baseline="0">
              <a:solidFill>
                <a:schemeClr val="tx1"/>
              </a:solidFill>
            </a:rPr>
            <a:t>, </a:t>
          </a:r>
          <a:r>
            <a:rPr lang="ko-KR" altLang="en-US" sz="1100" b="1" baseline="0">
              <a:solidFill>
                <a:schemeClr val="tx1"/>
              </a:solidFill>
            </a:rPr>
            <a:t>납입기간은 은 </a:t>
          </a:r>
          <a:r>
            <a:rPr lang="ko-KR" altLang="en-US" sz="1100" b="1" baseline="0">
              <a:solidFill>
                <a:srgbClr val="FF0000"/>
              </a:solidFill>
            </a:rPr>
            <a:t>숫자만 입력 </a:t>
          </a:r>
          <a:r>
            <a:rPr lang="ko-KR" altLang="en-US" sz="1100" b="1" baseline="0">
              <a:solidFill>
                <a:schemeClr val="tx1"/>
              </a:solidFill>
            </a:rPr>
            <a:t>하시면 됩니다</a:t>
          </a:r>
          <a:endParaRPr lang="en-US" altLang="ko-KR" sz="1100" b="1" baseline="0">
            <a:solidFill>
              <a:schemeClr val="tx1"/>
            </a:solidFill>
          </a:endParaRPr>
        </a:p>
        <a:p>
          <a:pPr algn="l"/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숫자 외 텍스트를 입력할 경우 수식이 작동하지 않습니다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1" baseline="0">
              <a:solidFill>
                <a:srgbClr val="FF0000"/>
              </a:solidFill>
            </a:rPr>
            <a:t>보장 총합계 </a:t>
          </a:r>
          <a:r>
            <a:rPr lang="en-US" altLang="ko-KR" sz="1100" b="1" baseline="0">
              <a:solidFill>
                <a:srgbClr val="FF0000"/>
              </a:solidFill>
            </a:rPr>
            <a:t>/</a:t>
          </a:r>
          <a:r>
            <a:rPr lang="ko-KR" altLang="en-US" sz="1100" b="1" baseline="0">
              <a:solidFill>
                <a:srgbClr val="FF0000"/>
              </a:solidFill>
            </a:rPr>
            <a:t> 월 보험료 합계 </a:t>
          </a:r>
          <a:r>
            <a:rPr lang="en-US" altLang="ko-KR" sz="1100" b="1" baseline="0">
              <a:solidFill>
                <a:srgbClr val="FF0000"/>
              </a:solidFill>
            </a:rPr>
            <a:t>/ </a:t>
          </a:r>
          <a:r>
            <a:rPr lang="ko-KR" altLang="en-US" sz="1100" b="1" baseline="0">
              <a:solidFill>
                <a:srgbClr val="FF0000"/>
              </a:solidFill>
            </a:rPr>
            <a:t>납입예정 수정 금지</a:t>
          </a:r>
          <a:endParaRPr lang="en-US" altLang="ko-KR" sz="1100" b="1" baseline="0">
            <a:solidFill>
              <a:srgbClr val="FF0000"/>
            </a:solidFill>
          </a:endParaRPr>
        </a:p>
        <a:p>
          <a:pPr algn="l"/>
          <a:r>
            <a:rPr lang="ko-KR" altLang="en-US" sz="1100" b="1" baseline="0">
              <a:solidFill>
                <a:srgbClr val="FF0000"/>
              </a:solidFill>
            </a:rPr>
            <a:t>자동 계산됩니다 </a:t>
          </a:r>
          <a:r>
            <a:rPr lang="en-US" altLang="ko-KR" sz="1100" b="1" baseline="0">
              <a:solidFill>
                <a:schemeClr val="tx1"/>
              </a:solidFill>
            </a:rPr>
            <a:t>(</a:t>
          </a:r>
          <a:r>
            <a:rPr lang="ko-KR" altLang="en-US" sz="1100" b="1" baseline="0">
              <a:solidFill>
                <a:schemeClr val="tx1"/>
              </a:solidFill>
            </a:rPr>
            <a:t>회사명 아래가 보장 총합계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</a:p>
        <a:p>
          <a:pPr algn="l"/>
          <a:r>
            <a:rPr lang="ko-KR" altLang="en-US" sz="1100" baseline="0">
              <a:solidFill>
                <a:schemeClr val="tx1"/>
              </a:solidFill>
            </a:rPr>
            <a:t>이 메모는 지우고 사용하시면 됩니다 </a:t>
          </a:r>
          <a:r>
            <a:rPr lang="en-US" altLang="ko-KR" sz="1100" baseline="0">
              <a:solidFill>
                <a:schemeClr val="tx1"/>
              </a:solidFill>
            </a:rPr>
            <a:t>!</a:t>
          </a:r>
        </a:p>
      </xdr:txBody>
    </xdr:sp>
    <xdr:clientData/>
  </xdr:twoCellAnchor>
  <xdr:twoCellAnchor editAs="oneCell">
    <xdr:from>
      <xdr:col>0</xdr:col>
      <xdr:colOff>414618</xdr:colOff>
      <xdr:row>0</xdr:row>
      <xdr:rowOff>59109</xdr:rowOff>
    </xdr:from>
    <xdr:to>
      <xdr:col>1</xdr:col>
      <xdr:colOff>1353446</xdr:colOff>
      <xdr:row>1</xdr:row>
      <xdr:rowOff>684834</xdr:rowOff>
    </xdr:to>
    <xdr:pic>
      <xdr:nvPicPr>
        <xdr:cNvPr id="3" name="그림 2" descr="서비스를 '분석'하는 방법">
          <a:extLst>
            <a:ext uri="{FF2B5EF4-FFF2-40B4-BE49-F238E27FC236}">
              <a16:creationId xmlns:a16="http://schemas.microsoft.com/office/drawing/2014/main" id="{C36AE731-F6DF-4483-84EB-3A7E0B2D42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7068" r="2777" b="9299"/>
        <a:stretch>
          <a:fillRect/>
        </a:stretch>
      </xdr:blipFill>
      <xdr:spPr bwMode="auto">
        <a:xfrm>
          <a:off x="419380" y="59109"/>
          <a:ext cx="1438891" cy="84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20</xdr:col>
      <xdr:colOff>382683</xdr:colOff>
      <xdr:row>6</xdr:row>
      <xdr:rowOff>244847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04B443-EA1A-4796-BA3F-E1AED22F4AF0}"/>
            </a:ext>
          </a:extLst>
        </xdr:cNvPr>
        <xdr:cNvSpPr/>
      </xdr:nvSpPr>
      <xdr:spPr>
        <a:xfrm>
          <a:off x="9782735" y="750794"/>
          <a:ext cx="3800477" cy="10404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수정금지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 모두 자동 추출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위 링크에서 수정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하시면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됩니다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0" baseline="0">
              <a:solidFill>
                <a:schemeClr val="tx1"/>
              </a:solidFill>
            </a:rPr>
            <a:t>추가하실 담보 있으시면 빈칸을 활용하세요 </a:t>
          </a:r>
          <a:r>
            <a:rPr lang="en-US" altLang="ko-KR" sz="1100" b="0" baseline="0">
              <a:solidFill>
                <a:schemeClr val="tx1"/>
              </a:solidFill>
            </a:rPr>
            <a:t>!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</xdr:colOff>
      <xdr:row>3</xdr:row>
      <xdr:rowOff>78441</xdr:rowOff>
    </xdr:from>
    <xdr:to>
      <xdr:col>20</xdr:col>
      <xdr:colOff>392207</xdr:colOff>
      <xdr:row>6</xdr:row>
      <xdr:rowOff>184056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A9E6DC-D1F8-4C97-AB54-36357B8DBEAB}"/>
            </a:ext>
          </a:extLst>
        </xdr:cNvPr>
        <xdr:cNvSpPr/>
      </xdr:nvSpPr>
      <xdr:spPr>
        <a:xfrm>
          <a:off x="9787497" y="694765"/>
          <a:ext cx="3805239" cy="103570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수정금지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 모두 자동 추출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ko-KR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위 링크에서 수정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하시면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됩니다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ko-KR" altLang="en-US" sz="1100" b="0" baseline="0">
              <a:solidFill>
                <a:schemeClr val="tx1"/>
              </a:solidFill>
            </a:rPr>
            <a:t>추가하실 담보 있으시면 빈칸을 활용하세요 </a:t>
          </a:r>
          <a:r>
            <a:rPr lang="en-US" altLang="ko-KR" sz="1100" b="0" baseline="0">
              <a:solidFill>
                <a:schemeClr val="tx1"/>
              </a:solidFill>
            </a:rPr>
            <a:t>!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32500</xdr:colOff>
      <xdr:row>4</xdr:row>
      <xdr:rowOff>3363</xdr:rowOff>
    </xdr:from>
    <xdr:to>
      <xdr:col>22</xdr:col>
      <xdr:colOff>573743</xdr:colOff>
      <xdr:row>7</xdr:row>
      <xdr:rowOff>195263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4FF06C-134D-490B-B451-90FE305A36FF}"/>
            </a:ext>
          </a:extLst>
        </xdr:cNvPr>
        <xdr:cNvSpPr/>
      </xdr:nvSpPr>
      <xdr:spPr>
        <a:xfrm>
          <a:off x="8571382" y="698128"/>
          <a:ext cx="3959037" cy="64013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수정금지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 모두 자동 추출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위 링크에서 수정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하시면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됩니다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66713</xdr:colOff>
      <xdr:row>5</xdr:row>
      <xdr:rowOff>152120</xdr:rowOff>
    </xdr:from>
    <xdr:to>
      <xdr:col>8</xdr:col>
      <xdr:colOff>392331</xdr:colOff>
      <xdr:row>7</xdr:row>
      <xdr:rowOff>134470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14197251-71D7-49BF-8FF8-609CC56F6C3D}"/>
            </a:ext>
          </a:extLst>
        </xdr:cNvPr>
        <xdr:cNvSpPr/>
      </xdr:nvSpPr>
      <xdr:spPr>
        <a:xfrm>
          <a:off x="4400588" y="961745"/>
          <a:ext cx="325618" cy="296675"/>
        </a:xfrm>
        <a:prstGeom prst="rightArrow">
          <a:avLst/>
        </a:prstGeom>
        <a:solidFill>
          <a:srgbClr val="FFAD53"/>
        </a:solidFill>
        <a:ln>
          <a:solidFill>
            <a:srgbClr val="FF941F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251452</xdr:colOff>
      <xdr:row>9</xdr:row>
      <xdr:rowOff>74838</xdr:rowOff>
    </xdr:from>
    <xdr:to>
      <xdr:col>22</xdr:col>
      <xdr:colOff>186137</xdr:colOff>
      <xdr:row>11</xdr:row>
      <xdr:rowOff>123144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E9DA7D2-D73E-4F38-8EAE-DD5101BDD8D9}"/>
            </a:ext>
          </a:extLst>
        </xdr:cNvPr>
        <xdr:cNvSpPr/>
      </xdr:nvSpPr>
      <xdr:spPr>
        <a:xfrm>
          <a:off x="8947217" y="2573750"/>
          <a:ext cx="4719596" cy="13257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셀 클릭 후 꼭짓점을 끌어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자동채우기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하시면 값 자동 입력 됩니다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보장분석표에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입력한 가입회사 갯수만큼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보험료는 자동 추출</a:t>
          </a:r>
          <a:endParaRPr lang="en-US" altLang="ko-KR" sz="11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절감 안될경우 아래 내용은 삭제하고 사용하세요 😊</a:t>
          </a:r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514352</xdr:colOff>
      <xdr:row>12</xdr:row>
      <xdr:rowOff>283510</xdr:rowOff>
    </xdr:from>
    <xdr:to>
      <xdr:col>22</xdr:col>
      <xdr:colOff>372037</xdr:colOff>
      <xdr:row>15</xdr:row>
      <xdr:rowOff>178735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F313499-A87C-425B-BF90-E47B6EB3C43D}"/>
            </a:ext>
          </a:extLst>
        </xdr:cNvPr>
        <xdr:cNvSpPr/>
      </xdr:nvSpPr>
      <xdr:spPr>
        <a:xfrm>
          <a:off x="8582587" y="2827245"/>
          <a:ext cx="3959038" cy="83651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숫자만 입력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하시면 됩니다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년납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세만기도 숫자만 입력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담보명은 수정해서 사용하세요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!</a:t>
          </a:r>
        </a:p>
        <a:p>
          <a:pPr algn="l"/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년납과 월 보험료만 입력하시면 총 보험료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자동 산출됩니다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66713</xdr:colOff>
      <xdr:row>5</xdr:row>
      <xdr:rowOff>152120</xdr:rowOff>
    </xdr:from>
    <xdr:to>
      <xdr:col>8</xdr:col>
      <xdr:colOff>392331</xdr:colOff>
      <xdr:row>7</xdr:row>
      <xdr:rowOff>134470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C720C5EF-A307-C996-E49C-6DF979F58C6B}"/>
            </a:ext>
          </a:extLst>
        </xdr:cNvPr>
        <xdr:cNvSpPr/>
      </xdr:nvSpPr>
      <xdr:spPr>
        <a:xfrm>
          <a:off x="4400588" y="961745"/>
          <a:ext cx="325618" cy="296675"/>
        </a:xfrm>
        <a:prstGeom prst="rightArrow">
          <a:avLst/>
        </a:prstGeom>
        <a:solidFill>
          <a:srgbClr val="FFAD53"/>
        </a:solidFill>
        <a:ln>
          <a:solidFill>
            <a:srgbClr val="FF941F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12</xdr:row>
      <xdr:rowOff>0</xdr:rowOff>
    </xdr:from>
    <xdr:to>
      <xdr:col>22</xdr:col>
      <xdr:colOff>543485</xdr:colOff>
      <xdr:row>14</xdr:row>
      <xdr:rowOff>209550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018448-C4B8-4CF8-A421-6CA7A308D02A}"/>
            </a:ext>
          </a:extLst>
        </xdr:cNvPr>
        <xdr:cNvSpPr/>
      </xdr:nvSpPr>
      <xdr:spPr>
        <a:xfrm>
          <a:off x="8543925" y="2419350"/>
          <a:ext cx="3972485" cy="838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숫자만 입력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하시면 됩니다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년납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세만기도 숫자만 입력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담보명은 수정해서 사용하세요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!</a:t>
          </a:r>
        </a:p>
        <a:p>
          <a:pPr algn="l"/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년납과 월 보험료만 입력하시면 총 보험료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자동 산출됩니다</a:t>
          </a:r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56030</xdr:colOff>
      <xdr:row>5</xdr:row>
      <xdr:rowOff>134471</xdr:rowOff>
    </xdr:from>
    <xdr:to>
      <xdr:col>8</xdr:col>
      <xdr:colOff>381648</xdr:colOff>
      <xdr:row>7</xdr:row>
      <xdr:rowOff>121583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889641BC-2A3B-4B60-A62E-3FD9E9B2C32F}"/>
            </a:ext>
          </a:extLst>
        </xdr:cNvPr>
        <xdr:cNvSpPr/>
      </xdr:nvSpPr>
      <xdr:spPr>
        <a:xfrm>
          <a:off x="4392706" y="952500"/>
          <a:ext cx="325618" cy="312083"/>
        </a:xfrm>
        <a:prstGeom prst="rightArrow">
          <a:avLst/>
        </a:prstGeom>
        <a:solidFill>
          <a:srgbClr val="FFAD53"/>
        </a:solidFill>
        <a:ln>
          <a:solidFill>
            <a:srgbClr val="FF941F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609882</xdr:colOff>
      <xdr:row>12</xdr:row>
      <xdr:rowOff>11207</xdr:rowOff>
    </xdr:from>
    <xdr:to>
      <xdr:col>15</xdr:col>
      <xdr:colOff>296115</xdr:colOff>
      <xdr:row>14</xdr:row>
      <xdr:rowOff>78442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F4DC7B-4C3E-4BDE-923F-A912BCEF304C}"/>
            </a:ext>
          </a:extLst>
        </xdr:cNvPr>
        <xdr:cNvSpPr/>
      </xdr:nvSpPr>
      <xdr:spPr>
        <a:xfrm>
          <a:off x="11714911" y="2398060"/>
          <a:ext cx="3104028" cy="35858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총 보험료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수정 금지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 자동추출 됩니다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yoni0901@naver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CD1F-0F39-463A-956F-57007DDE5377}">
  <sheetPr>
    <pageSetUpPr autoPageBreaks="0"/>
  </sheetPr>
  <dimension ref="B1:I7"/>
  <sheetViews>
    <sheetView showGridLines="0" tabSelected="1" zoomScaleNormal="100" zoomScaleSheetLayoutView="100" workbookViewId="0">
      <selection activeCell="B1" sqref="B1:I1"/>
    </sheetView>
  </sheetViews>
  <sheetFormatPr defaultRowHeight="16.899999999999999" x14ac:dyDescent="0.6"/>
  <cols>
    <col min="1" max="1" width="4.5625" customWidth="1"/>
    <col min="2" max="5" width="12.5" customWidth="1"/>
    <col min="6" max="6" width="4.5625" customWidth="1"/>
  </cols>
  <sheetData>
    <row r="1" spans="2:9" x14ac:dyDescent="0.6">
      <c r="B1" s="226" t="s">
        <v>186</v>
      </c>
      <c r="C1" s="227"/>
      <c r="D1" s="227"/>
      <c r="E1" s="227"/>
      <c r="F1" s="227"/>
      <c r="G1" s="227"/>
      <c r="H1" s="227"/>
      <c r="I1" s="227"/>
    </row>
    <row r="2" spans="2:9" x14ac:dyDescent="0.6">
      <c r="B2" s="228" t="s">
        <v>192</v>
      </c>
    </row>
    <row r="3" spans="2:9" ht="10.9" customHeight="1" x14ac:dyDescent="0.6">
      <c r="B3" s="228"/>
    </row>
    <row r="4" spans="2:9" ht="38.65" customHeight="1" x14ac:dyDescent="0.6">
      <c r="B4" s="290" t="s">
        <v>187</v>
      </c>
      <c r="C4" s="291"/>
      <c r="D4" s="291"/>
      <c r="E4" s="292"/>
    </row>
    <row r="5" spans="2:9" ht="213" customHeight="1" x14ac:dyDescent="0.6">
      <c r="B5" s="293"/>
      <c r="C5" s="293"/>
      <c r="D5" s="293"/>
      <c r="E5" s="293"/>
    </row>
    <row r="6" spans="2:9" ht="48" customHeight="1" x14ac:dyDescent="0.6">
      <c r="B6" s="229"/>
      <c r="C6" s="229"/>
      <c r="D6" s="229"/>
      <c r="E6" s="229"/>
    </row>
    <row r="7" spans="2:9" x14ac:dyDescent="0.6">
      <c r="B7" s="1" t="s">
        <v>188</v>
      </c>
      <c r="C7" s="1" t="s">
        <v>189</v>
      </c>
      <c r="D7" s="1" t="s">
        <v>190</v>
      </c>
      <c r="E7" s="1" t="s">
        <v>191</v>
      </c>
    </row>
  </sheetData>
  <mergeCells count="2">
    <mergeCell ref="B4:E4"/>
    <mergeCell ref="B5:E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18E2-7DAD-4C9A-952D-5637C80579F6}">
  <dimension ref="B1:L58"/>
  <sheetViews>
    <sheetView showGridLines="0" zoomScale="85" zoomScaleNormal="85" workbookViewId="0">
      <pane ySplit="9" topLeftCell="A10" activePane="bottomLeft" state="frozen"/>
      <selection pane="bottomLeft" activeCell="F14" sqref="F14"/>
    </sheetView>
  </sheetViews>
  <sheetFormatPr defaultRowHeight="16.899999999999999" x14ac:dyDescent="0.6"/>
  <cols>
    <col min="1" max="1" width="4.5625" customWidth="1"/>
    <col min="2" max="2" width="16.5625" customWidth="1"/>
    <col min="3" max="3" width="21.75" bestFit="1" customWidth="1"/>
    <col min="4" max="4" width="4.5625" customWidth="1"/>
    <col min="5" max="5" width="16.5625" customWidth="1"/>
    <col min="6" max="6" width="25.5" bestFit="1" customWidth="1"/>
    <col min="7" max="7" width="4.5625" customWidth="1"/>
    <col min="8" max="8" width="16.5625" customWidth="1"/>
    <col min="9" max="9" width="18.4375" bestFit="1" customWidth="1"/>
    <col min="10" max="10" width="14.9375" bestFit="1" customWidth="1"/>
    <col min="11" max="11" width="9.125" customWidth="1"/>
  </cols>
  <sheetData>
    <row r="1" spans="2:12" x14ac:dyDescent="0.6">
      <c r="B1" s="230" t="s">
        <v>400</v>
      </c>
      <c r="C1" s="231"/>
      <c r="D1" s="231"/>
      <c r="E1" s="231"/>
      <c r="F1" s="231"/>
      <c r="H1" s="1"/>
    </row>
    <row r="2" spans="2:12" x14ac:dyDescent="0.6">
      <c r="B2" t="s">
        <v>402</v>
      </c>
    </row>
    <row r="3" spans="2:12" x14ac:dyDescent="0.6">
      <c r="B3" s="237" t="s">
        <v>401</v>
      </c>
      <c r="C3" s="238"/>
      <c r="D3" s="238"/>
      <c r="E3" s="238"/>
      <c r="F3" s="239"/>
    </row>
    <row r="4" spans="2:12" x14ac:dyDescent="0.6">
      <c r="B4" s="237" t="s">
        <v>409</v>
      </c>
      <c r="C4" s="238"/>
      <c r="D4" s="238"/>
      <c r="E4" s="238"/>
      <c r="F4" s="239"/>
    </row>
    <row r="6" spans="2:12" s="1" customFormat="1" ht="37.25" customHeight="1" thickBot="1" x14ac:dyDescent="0.65">
      <c r="B6" s="294" t="s">
        <v>193</v>
      </c>
      <c r="C6" s="294"/>
      <c r="D6" s="294"/>
      <c r="E6" s="294"/>
      <c r="F6" s="294"/>
      <c r="G6" s="294"/>
      <c r="H6" s="294"/>
      <c r="I6" s="294"/>
      <c r="L6" s="229"/>
    </row>
    <row r="8" spans="2:12" s="232" customFormat="1" ht="25.5" customHeight="1" x14ac:dyDescent="0.6">
      <c r="B8" s="295" t="s">
        <v>194</v>
      </c>
      <c r="C8" s="296"/>
      <c r="E8" s="295" t="s">
        <v>195</v>
      </c>
      <c r="F8" s="296"/>
      <c r="H8" s="295" t="s">
        <v>196</v>
      </c>
      <c r="I8" s="296"/>
    </row>
    <row r="9" spans="2:12" ht="20" customHeight="1" x14ac:dyDescent="0.6">
      <c r="B9" s="233" t="s">
        <v>197</v>
      </c>
      <c r="C9" s="234" t="s">
        <v>198</v>
      </c>
      <c r="E9" s="233" t="s">
        <v>197</v>
      </c>
      <c r="F9" s="234" t="s">
        <v>198</v>
      </c>
      <c r="H9" s="233" t="s">
        <v>197</v>
      </c>
      <c r="I9" s="234" t="s">
        <v>198</v>
      </c>
    </row>
    <row r="10" spans="2:12" x14ac:dyDescent="0.6">
      <c r="B10" s="235" t="s">
        <v>199</v>
      </c>
      <c r="C10" s="236" t="s">
        <v>200</v>
      </c>
      <c r="E10" s="235" t="s">
        <v>201</v>
      </c>
      <c r="F10" s="236" t="s">
        <v>202</v>
      </c>
      <c r="H10" s="235" t="s">
        <v>203</v>
      </c>
      <c r="I10" s="236" t="s">
        <v>204</v>
      </c>
    </row>
    <row r="11" spans="2:12" x14ac:dyDescent="0.6">
      <c r="B11" s="235" t="s">
        <v>205</v>
      </c>
      <c r="C11" s="236" t="s">
        <v>206</v>
      </c>
      <c r="E11" s="235" t="s">
        <v>207</v>
      </c>
      <c r="F11" s="236" t="s">
        <v>208</v>
      </c>
      <c r="H11" s="235" t="s">
        <v>209</v>
      </c>
      <c r="I11" s="236" t="s">
        <v>210</v>
      </c>
    </row>
    <row r="12" spans="2:12" x14ac:dyDescent="0.6">
      <c r="B12" s="235" t="s">
        <v>211</v>
      </c>
      <c r="C12" s="236" t="s">
        <v>212</v>
      </c>
      <c r="E12" s="235" t="s">
        <v>213</v>
      </c>
      <c r="F12" s="236" t="s">
        <v>214</v>
      </c>
      <c r="H12" s="235" t="s">
        <v>215</v>
      </c>
      <c r="I12" s="236" t="s">
        <v>216</v>
      </c>
    </row>
    <row r="13" spans="2:12" x14ac:dyDescent="0.6">
      <c r="B13" s="235" t="s">
        <v>217</v>
      </c>
      <c r="C13" s="236" t="s">
        <v>218</v>
      </c>
      <c r="E13" s="235" t="s">
        <v>219</v>
      </c>
      <c r="F13" s="236" t="s">
        <v>220</v>
      </c>
      <c r="H13" s="235" t="s">
        <v>221</v>
      </c>
      <c r="I13" s="236" t="s">
        <v>222</v>
      </c>
    </row>
    <row r="14" spans="2:12" x14ac:dyDescent="0.6">
      <c r="B14" s="235" t="s">
        <v>223</v>
      </c>
      <c r="C14" s="236" t="s">
        <v>224</v>
      </c>
      <c r="E14" s="235" t="s">
        <v>225</v>
      </c>
      <c r="F14" s="236" t="s">
        <v>226</v>
      </c>
      <c r="H14" s="235" t="s">
        <v>227</v>
      </c>
      <c r="I14" s="236" t="s">
        <v>228</v>
      </c>
    </row>
    <row r="15" spans="2:12" x14ac:dyDescent="0.6">
      <c r="B15" s="235" t="s">
        <v>229</v>
      </c>
      <c r="C15" s="236" t="s">
        <v>230</v>
      </c>
      <c r="E15" s="235" t="s">
        <v>231</v>
      </c>
      <c r="F15" s="236" t="s">
        <v>232</v>
      </c>
      <c r="H15" s="235" t="s">
        <v>233</v>
      </c>
      <c r="I15" s="236" t="s">
        <v>234</v>
      </c>
    </row>
    <row r="16" spans="2:12" x14ac:dyDescent="0.6">
      <c r="B16" s="235" t="s">
        <v>235</v>
      </c>
      <c r="C16" s="236" t="s">
        <v>236</v>
      </c>
      <c r="E16" s="235" t="s">
        <v>237</v>
      </c>
      <c r="F16" s="236" t="s">
        <v>238</v>
      </c>
      <c r="H16" s="235" t="s">
        <v>239</v>
      </c>
      <c r="I16" s="236" t="s">
        <v>240</v>
      </c>
    </row>
    <row r="17" spans="2:9" x14ac:dyDescent="0.6">
      <c r="B17" s="235" t="s">
        <v>241</v>
      </c>
      <c r="C17" s="236" t="s">
        <v>242</v>
      </c>
      <c r="E17" s="235" t="s">
        <v>243</v>
      </c>
      <c r="F17" s="236" t="s">
        <v>244</v>
      </c>
      <c r="H17" s="235" t="s">
        <v>245</v>
      </c>
      <c r="I17" s="236" t="s">
        <v>246</v>
      </c>
    </row>
    <row r="18" spans="2:9" x14ac:dyDescent="0.6">
      <c r="B18" s="235" t="s">
        <v>247</v>
      </c>
      <c r="C18" s="236" t="s">
        <v>248</v>
      </c>
      <c r="E18" s="235" t="s">
        <v>249</v>
      </c>
      <c r="F18" s="236" t="s">
        <v>250</v>
      </c>
      <c r="H18" s="235" t="s">
        <v>251</v>
      </c>
      <c r="I18" s="236" t="s">
        <v>252</v>
      </c>
    </row>
    <row r="19" spans="2:9" x14ac:dyDescent="0.6">
      <c r="B19" s="235" t="s">
        <v>253</v>
      </c>
      <c r="C19" s="236" t="s">
        <v>254</v>
      </c>
      <c r="E19" s="235" t="s">
        <v>255</v>
      </c>
      <c r="F19" s="236" t="s">
        <v>256</v>
      </c>
      <c r="H19" s="235" t="s">
        <v>257</v>
      </c>
      <c r="I19" s="236" t="s">
        <v>258</v>
      </c>
    </row>
    <row r="20" spans="2:9" x14ac:dyDescent="0.6">
      <c r="B20" s="235" t="s">
        <v>259</v>
      </c>
      <c r="C20" s="236" t="s">
        <v>260</v>
      </c>
      <c r="E20" s="235" t="s">
        <v>261</v>
      </c>
      <c r="F20" s="236" t="s">
        <v>262</v>
      </c>
      <c r="H20" s="235" t="s">
        <v>263</v>
      </c>
      <c r="I20" s="236" t="s">
        <v>264</v>
      </c>
    </row>
    <row r="21" spans="2:9" x14ac:dyDescent="0.6">
      <c r="B21" s="235" t="s">
        <v>265</v>
      </c>
      <c r="C21" s="236" t="s">
        <v>266</v>
      </c>
      <c r="E21" s="235" t="s">
        <v>267</v>
      </c>
      <c r="F21" s="236" t="s">
        <v>268</v>
      </c>
      <c r="H21" s="235" t="s">
        <v>269</v>
      </c>
      <c r="I21" s="236" t="s">
        <v>270</v>
      </c>
    </row>
    <row r="22" spans="2:9" x14ac:dyDescent="0.6">
      <c r="B22" s="235" t="s">
        <v>271</v>
      </c>
      <c r="C22" s="236" t="s">
        <v>272</v>
      </c>
      <c r="E22" s="235" t="s">
        <v>273</v>
      </c>
      <c r="F22" s="236" t="s">
        <v>274</v>
      </c>
      <c r="H22" s="235" t="s">
        <v>275</v>
      </c>
      <c r="I22" s="236" t="s">
        <v>276</v>
      </c>
    </row>
    <row r="23" spans="2:9" x14ac:dyDescent="0.6">
      <c r="B23" s="235" t="s">
        <v>277</v>
      </c>
      <c r="C23" s="236" t="s">
        <v>278</v>
      </c>
      <c r="E23" s="235" t="s">
        <v>279</v>
      </c>
      <c r="F23" s="236" t="s">
        <v>280</v>
      </c>
      <c r="H23" s="235" t="s">
        <v>281</v>
      </c>
      <c r="I23" s="236" t="s">
        <v>282</v>
      </c>
    </row>
    <row r="24" spans="2:9" x14ac:dyDescent="0.6">
      <c r="B24" s="235" t="s">
        <v>283</v>
      </c>
      <c r="C24" s="236" t="s">
        <v>284</v>
      </c>
      <c r="E24" s="235" t="s">
        <v>285</v>
      </c>
      <c r="F24" s="236" t="s">
        <v>286</v>
      </c>
      <c r="H24" s="235" t="s">
        <v>287</v>
      </c>
      <c r="I24" s="236" t="s">
        <v>288</v>
      </c>
    </row>
    <row r="25" spans="2:9" x14ac:dyDescent="0.6">
      <c r="B25" s="235" t="s">
        <v>289</v>
      </c>
      <c r="C25" s="236" t="s">
        <v>290</v>
      </c>
      <c r="E25" s="235" t="s">
        <v>291</v>
      </c>
      <c r="F25" s="236" t="s">
        <v>292</v>
      </c>
      <c r="H25" s="235" t="s">
        <v>293</v>
      </c>
      <c r="I25" s="236" t="s">
        <v>294</v>
      </c>
    </row>
    <row r="26" spans="2:9" x14ac:dyDescent="0.6">
      <c r="B26" s="235" t="s">
        <v>295</v>
      </c>
      <c r="C26" s="236" t="s">
        <v>296</v>
      </c>
      <c r="E26" s="235" t="s">
        <v>297</v>
      </c>
      <c r="F26" s="236" t="s">
        <v>298</v>
      </c>
      <c r="H26" s="235" t="s">
        <v>299</v>
      </c>
      <c r="I26" s="236" t="s">
        <v>300</v>
      </c>
    </row>
    <row r="27" spans="2:9" x14ac:dyDescent="0.6">
      <c r="B27" s="235" t="s">
        <v>301</v>
      </c>
      <c r="C27" s="236" t="s">
        <v>302</v>
      </c>
      <c r="E27" s="235" t="s">
        <v>303</v>
      </c>
      <c r="F27" s="236" t="s">
        <v>304</v>
      </c>
      <c r="H27" s="235" t="s">
        <v>305</v>
      </c>
      <c r="I27" s="236" t="s">
        <v>282</v>
      </c>
    </row>
    <row r="28" spans="2:9" x14ac:dyDescent="0.6">
      <c r="B28" s="235" t="s">
        <v>306</v>
      </c>
      <c r="C28" s="236" t="s">
        <v>307</v>
      </c>
      <c r="E28" s="235" t="s">
        <v>308</v>
      </c>
      <c r="F28" s="236" t="s">
        <v>309</v>
      </c>
      <c r="H28" s="235" t="s">
        <v>310</v>
      </c>
      <c r="I28" s="236" t="s">
        <v>311</v>
      </c>
    </row>
    <row r="29" spans="2:9" x14ac:dyDescent="0.6">
      <c r="B29" s="235" t="s">
        <v>312</v>
      </c>
      <c r="C29" s="236" t="s">
        <v>313</v>
      </c>
      <c r="E29" s="235" t="s">
        <v>314</v>
      </c>
      <c r="F29" s="236" t="s">
        <v>315</v>
      </c>
    </row>
    <row r="30" spans="2:9" x14ac:dyDescent="0.6">
      <c r="B30" s="235" t="s">
        <v>316</v>
      </c>
      <c r="C30" s="236" t="s">
        <v>317</v>
      </c>
      <c r="E30" s="235" t="s">
        <v>318</v>
      </c>
      <c r="F30" s="236" t="s">
        <v>319</v>
      </c>
    </row>
    <row r="31" spans="2:9" x14ac:dyDescent="0.6">
      <c r="B31" s="235" t="s">
        <v>320</v>
      </c>
      <c r="C31" s="236" t="s">
        <v>321</v>
      </c>
      <c r="E31" s="235" t="s">
        <v>322</v>
      </c>
      <c r="F31" s="236" t="s">
        <v>323</v>
      </c>
    </row>
    <row r="32" spans="2:9" x14ac:dyDescent="0.6">
      <c r="B32" s="235" t="s">
        <v>324</v>
      </c>
      <c r="C32" s="236" t="s">
        <v>325</v>
      </c>
      <c r="E32" s="235" t="s">
        <v>326</v>
      </c>
      <c r="F32" s="236" t="s">
        <v>327</v>
      </c>
    </row>
    <row r="33" spans="2:6" x14ac:dyDescent="0.6">
      <c r="B33" s="235" t="s">
        <v>328</v>
      </c>
      <c r="C33" s="236" t="s">
        <v>329</v>
      </c>
      <c r="E33" s="235" t="s">
        <v>330</v>
      </c>
      <c r="F33" s="236" t="s">
        <v>331</v>
      </c>
    </row>
    <row r="34" spans="2:6" x14ac:dyDescent="0.6">
      <c r="B34" s="235" t="s">
        <v>332</v>
      </c>
      <c r="C34" s="236" t="s">
        <v>333</v>
      </c>
      <c r="E34" s="235" t="s">
        <v>334</v>
      </c>
      <c r="F34" s="236" t="s">
        <v>335</v>
      </c>
    </row>
    <row r="35" spans="2:6" x14ac:dyDescent="0.6">
      <c r="B35" s="235" t="s">
        <v>336</v>
      </c>
      <c r="C35" s="236" t="s">
        <v>337</v>
      </c>
      <c r="E35" s="235" t="s">
        <v>338</v>
      </c>
      <c r="F35" s="236" t="s">
        <v>339</v>
      </c>
    </row>
    <row r="36" spans="2:6" x14ac:dyDescent="0.6">
      <c r="B36" s="235" t="s">
        <v>340</v>
      </c>
      <c r="C36" s="236" t="s">
        <v>341</v>
      </c>
      <c r="E36" s="235" t="s">
        <v>342</v>
      </c>
      <c r="F36" s="236" t="s">
        <v>343</v>
      </c>
    </row>
    <row r="37" spans="2:6" x14ac:dyDescent="0.6">
      <c r="B37" s="235" t="s">
        <v>344</v>
      </c>
      <c r="C37" s="236" t="s">
        <v>345</v>
      </c>
      <c r="E37" s="235" t="s">
        <v>346</v>
      </c>
      <c r="F37" s="236" t="s">
        <v>347</v>
      </c>
    </row>
    <row r="38" spans="2:6" x14ac:dyDescent="0.6">
      <c r="B38" s="235" t="s">
        <v>348</v>
      </c>
      <c r="C38" s="236" t="s">
        <v>349</v>
      </c>
      <c r="E38" s="235" t="s">
        <v>350</v>
      </c>
      <c r="F38" s="236" t="s">
        <v>351</v>
      </c>
    </row>
    <row r="39" spans="2:6" x14ac:dyDescent="0.6">
      <c r="B39" s="235" t="s">
        <v>352</v>
      </c>
      <c r="C39" s="236" t="s">
        <v>353</v>
      </c>
      <c r="E39" s="235" t="s">
        <v>354</v>
      </c>
      <c r="F39" s="236" t="s">
        <v>355</v>
      </c>
    </row>
    <row r="40" spans="2:6" x14ac:dyDescent="0.6">
      <c r="B40" s="235" t="s">
        <v>356</v>
      </c>
      <c r="C40" s="236" t="s">
        <v>357</v>
      </c>
      <c r="E40" s="235" t="s">
        <v>358</v>
      </c>
      <c r="F40" s="236" t="s">
        <v>359</v>
      </c>
    </row>
    <row r="41" spans="2:6" x14ac:dyDescent="0.6">
      <c r="B41" s="235" t="s">
        <v>360</v>
      </c>
      <c r="C41" s="236" t="s">
        <v>361</v>
      </c>
      <c r="E41" s="235" t="s">
        <v>362</v>
      </c>
      <c r="F41" s="236" t="s">
        <v>363</v>
      </c>
    </row>
    <row r="42" spans="2:6" x14ac:dyDescent="0.6">
      <c r="B42" s="235" t="s">
        <v>364</v>
      </c>
      <c r="C42" s="236" t="s">
        <v>365</v>
      </c>
      <c r="E42" s="235" t="s">
        <v>366</v>
      </c>
      <c r="F42" s="236" t="s">
        <v>367</v>
      </c>
    </row>
    <row r="43" spans="2:6" x14ac:dyDescent="0.6">
      <c r="B43" s="235" t="s">
        <v>368</v>
      </c>
      <c r="C43" s="236" t="s">
        <v>369</v>
      </c>
    </row>
    <row r="44" spans="2:6" x14ac:dyDescent="0.6">
      <c r="B44" s="235" t="s">
        <v>370</v>
      </c>
      <c r="C44" s="236" t="s">
        <v>371</v>
      </c>
    </row>
    <row r="45" spans="2:6" x14ac:dyDescent="0.6">
      <c r="B45" s="235" t="s">
        <v>372</v>
      </c>
      <c r="C45" s="236" t="s">
        <v>373</v>
      </c>
    </row>
    <row r="46" spans="2:6" x14ac:dyDescent="0.6">
      <c r="B46" s="235" t="s">
        <v>374</v>
      </c>
      <c r="C46" s="236" t="s">
        <v>375</v>
      </c>
    </row>
    <row r="47" spans="2:6" x14ac:dyDescent="0.6">
      <c r="B47" s="235" t="s">
        <v>376</v>
      </c>
      <c r="C47" s="236" t="s">
        <v>377</v>
      </c>
    </row>
    <row r="48" spans="2:6" x14ac:dyDescent="0.6">
      <c r="B48" s="235" t="s">
        <v>378</v>
      </c>
      <c r="C48" s="236" t="s">
        <v>379</v>
      </c>
    </row>
    <row r="49" spans="2:3" x14ac:dyDescent="0.6">
      <c r="B49" s="235" t="s">
        <v>380</v>
      </c>
      <c r="C49" s="236" t="s">
        <v>381</v>
      </c>
    </row>
    <row r="50" spans="2:3" x14ac:dyDescent="0.6">
      <c r="B50" s="235" t="s">
        <v>382</v>
      </c>
      <c r="C50" s="236" t="s">
        <v>383</v>
      </c>
    </row>
    <row r="51" spans="2:3" x14ac:dyDescent="0.6">
      <c r="B51" s="235" t="s">
        <v>384</v>
      </c>
      <c r="C51" s="236" t="s">
        <v>385</v>
      </c>
    </row>
    <row r="52" spans="2:3" x14ac:dyDescent="0.6">
      <c r="B52" s="235" t="s">
        <v>386</v>
      </c>
      <c r="C52" s="236" t="s">
        <v>387</v>
      </c>
    </row>
    <row r="53" spans="2:3" x14ac:dyDescent="0.6">
      <c r="B53" s="235" t="s">
        <v>388</v>
      </c>
      <c r="C53" s="236" t="s">
        <v>389</v>
      </c>
    </row>
    <row r="54" spans="2:3" x14ac:dyDescent="0.6">
      <c r="B54" s="235" t="s">
        <v>390</v>
      </c>
      <c r="C54" s="236" t="s">
        <v>391</v>
      </c>
    </row>
    <row r="55" spans="2:3" x14ac:dyDescent="0.6">
      <c r="B55" s="235" t="s">
        <v>392</v>
      </c>
      <c r="C55" s="236" t="s">
        <v>393</v>
      </c>
    </row>
    <row r="56" spans="2:3" x14ac:dyDescent="0.6">
      <c r="B56" s="235" t="s">
        <v>394</v>
      </c>
      <c r="C56" s="236" t="s">
        <v>395</v>
      </c>
    </row>
    <row r="57" spans="2:3" x14ac:dyDescent="0.6">
      <c r="B57" s="235" t="s">
        <v>396</v>
      </c>
      <c r="C57" s="236" t="s">
        <v>397</v>
      </c>
    </row>
    <row r="58" spans="2:3" x14ac:dyDescent="0.6">
      <c r="B58" s="235" t="s">
        <v>398</v>
      </c>
      <c r="C58" s="236" t="s">
        <v>399</v>
      </c>
    </row>
  </sheetData>
  <mergeCells count="4">
    <mergeCell ref="B6:I6"/>
    <mergeCell ref="B8:C8"/>
    <mergeCell ref="E8:F8"/>
    <mergeCell ref="H8:I8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8B6F-DA3F-408E-B8A3-3FBE4D1B7659}">
  <sheetPr>
    <tabColor rgb="FFFF941F"/>
  </sheetPr>
  <dimension ref="A1:J33"/>
  <sheetViews>
    <sheetView showGridLines="0" view="pageBreakPreview" zoomScale="85" zoomScaleNormal="100" zoomScaleSheetLayoutView="85" workbookViewId="0">
      <selection activeCell="B5" sqref="B5:C5"/>
    </sheetView>
  </sheetViews>
  <sheetFormatPr defaultRowHeight="16.899999999999999" x14ac:dyDescent="0.6"/>
  <cols>
    <col min="1" max="1" width="8.5" customWidth="1"/>
    <col min="2" max="2" width="22.5625" customWidth="1"/>
    <col min="3" max="5" width="8.5" customWidth="1"/>
    <col min="6" max="6" width="22.5625" customWidth="1"/>
  </cols>
  <sheetData>
    <row r="1" spans="1:10" ht="16.899999999999999" customHeight="1" x14ac:dyDescent="0.6">
      <c r="A1" s="297" t="s">
        <v>103</v>
      </c>
      <c r="B1" s="298"/>
      <c r="C1" s="298"/>
      <c r="D1" s="298"/>
      <c r="E1" s="298"/>
      <c r="F1" s="299"/>
    </row>
    <row r="2" spans="1:10" ht="16.899999999999999" customHeight="1" x14ac:dyDescent="0.6">
      <c r="A2" s="300"/>
      <c r="B2" s="301"/>
      <c r="C2" s="301"/>
      <c r="D2" s="301"/>
      <c r="E2" s="301"/>
      <c r="F2" s="302"/>
    </row>
    <row r="3" spans="1:10" x14ac:dyDescent="0.6">
      <c r="A3" s="310" t="s">
        <v>104</v>
      </c>
      <c r="B3" s="310"/>
    </row>
    <row r="4" spans="1:10" ht="16.899999999999999" customHeight="1" x14ac:dyDescent="0.6">
      <c r="A4" s="306"/>
      <c r="B4" s="306"/>
      <c r="C4" s="66"/>
      <c r="D4" s="66"/>
      <c r="E4" s="66"/>
    </row>
    <row r="5" spans="1:10" ht="25.05" customHeight="1" x14ac:dyDescent="0.6">
      <c r="A5" s="278" t="s">
        <v>106</v>
      </c>
      <c r="B5" s="312" t="s">
        <v>411</v>
      </c>
      <c r="C5" s="313"/>
      <c r="D5" s="278" t="s">
        <v>108</v>
      </c>
      <c r="E5" s="316"/>
      <c r="F5" s="317"/>
      <c r="G5" s="99"/>
      <c r="I5" s="69"/>
      <c r="J5" s="1"/>
    </row>
    <row r="6" spans="1:10" ht="25.05" customHeight="1" x14ac:dyDescent="0.6">
      <c r="A6" s="279" t="s">
        <v>105</v>
      </c>
      <c r="B6" s="314"/>
      <c r="C6" s="315"/>
      <c r="D6" s="279" t="s">
        <v>111</v>
      </c>
      <c r="E6" s="321"/>
      <c r="F6" s="322"/>
      <c r="I6" s="69"/>
      <c r="J6" s="1"/>
    </row>
    <row r="7" spans="1:10" ht="25.05" customHeight="1" x14ac:dyDescent="0.6">
      <c r="A7" s="279" t="s">
        <v>109</v>
      </c>
      <c r="B7" s="321"/>
      <c r="C7" s="322"/>
      <c r="D7" s="279" t="s">
        <v>110</v>
      </c>
      <c r="E7" s="321"/>
      <c r="F7" s="322"/>
      <c r="I7" s="69"/>
      <c r="J7" s="1"/>
    </row>
    <row r="8" spans="1:10" ht="25.05" customHeight="1" x14ac:dyDescent="0.6">
      <c r="A8" s="281" t="s">
        <v>107</v>
      </c>
      <c r="B8" s="318"/>
      <c r="C8" s="318"/>
      <c r="D8" s="318"/>
      <c r="E8" s="318"/>
      <c r="F8" s="319"/>
      <c r="I8" s="69"/>
      <c r="J8" s="1"/>
    </row>
    <row r="9" spans="1:10" x14ac:dyDescent="0.6">
      <c r="A9" s="67"/>
      <c r="B9" s="73"/>
      <c r="C9" s="73"/>
      <c r="D9" s="73"/>
      <c r="E9" s="73"/>
      <c r="F9" s="73"/>
    </row>
    <row r="10" spans="1:10" x14ac:dyDescent="0.6">
      <c r="A10" s="305" t="s">
        <v>112</v>
      </c>
      <c r="B10" s="305"/>
      <c r="C10" s="1"/>
      <c r="D10" s="1"/>
      <c r="E10" s="1"/>
      <c r="F10" s="1"/>
    </row>
    <row r="11" spans="1:10" ht="16.899999999999999" customHeight="1" x14ac:dyDescent="0.6">
      <c r="A11" s="306"/>
      <c r="B11" s="306"/>
      <c r="C11" s="74"/>
      <c r="D11" s="74"/>
      <c r="E11" s="74"/>
      <c r="F11" s="1"/>
      <c r="I11" s="69"/>
    </row>
    <row r="12" spans="1:10" ht="25.05" customHeight="1" x14ac:dyDescent="0.6">
      <c r="A12" s="278" t="s">
        <v>113</v>
      </c>
      <c r="B12" s="312"/>
      <c r="C12" s="313"/>
      <c r="D12" s="278" t="s">
        <v>114</v>
      </c>
      <c r="E12" s="312"/>
      <c r="F12" s="313"/>
      <c r="I12" s="69"/>
    </row>
    <row r="13" spans="1:10" ht="25.05" customHeight="1" x14ac:dyDescent="0.6">
      <c r="A13" s="279" t="s">
        <v>115</v>
      </c>
      <c r="B13" s="321"/>
      <c r="C13" s="322"/>
      <c r="D13" s="279" t="s">
        <v>116</v>
      </c>
      <c r="E13" s="321"/>
      <c r="F13" s="322"/>
      <c r="I13" s="69"/>
    </row>
    <row r="14" spans="1:10" ht="25.05" customHeight="1" x14ac:dyDescent="0.6">
      <c r="A14" s="280" t="s">
        <v>117</v>
      </c>
      <c r="B14" s="323"/>
      <c r="C14" s="324"/>
      <c r="D14" s="280" t="s">
        <v>127</v>
      </c>
      <c r="E14" s="323"/>
      <c r="F14" s="324"/>
      <c r="I14" s="69"/>
    </row>
    <row r="15" spans="1:10" x14ac:dyDescent="0.6">
      <c r="A15" s="1"/>
      <c r="B15" s="1"/>
    </row>
    <row r="16" spans="1:10" ht="38.25" customHeight="1" x14ac:dyDescent="0.6">
      <c r="A16" s="320" t="s">
        <v>131</v>
      </c>
      <c r="B16" s="320"/>
      <c r="C16" s="320"/>
      <c r="D16" s="320"/>
      <c r="E16" s="320"/>
      <c r="F16" s="320"/>
      <c r="I16" s="69"/>
    </row>
    <row r="17" spans="1:9" ht="25.05" customHeight="1" x14ac:dyDescent="0.6">
      <c r="A17" t="s">
        <v>129</v>
      </c>
      <c r="I17" s="69"/>
    </row>
    <row r="18" spans="1:9" ht="9.85" customHeight="1" x14ac:dyDescent="0.6">
      <c r="A18" s="76"/>
      <c r="B18" s="76"/>
      <c r="C18" s="76"/>
      <c r="D18" s="76"/>
      <c r="E18" s="76"/>
      <c r="F18" s="76"/>
      <c r="I18" s="69"/>
    </row>
    <row r="19" spans="1:9" ht="38.25" customHeight="1" x14ac:dyDescent="0.6">
      <c r="A19" s="320" t="s">
        <v>132</v>
      </c>
      <c r="B19" s="320"/>
      <c r="C19" s="320"/>
      <c r="D19" s="320"/>
      <c r="E19" s="320"/>
      <c r="F19" s="320"/>
      <c r="I19" s="69"/>
    </row>
    <row r="20" spans="1:9" ht="25.05" customHeight="1" x14ac:dyDescent="0.6">
      <c r="A20" s="293"/>
      <c r="B20" s="293"/>
      <c r="C20" s="293"/>
      <c r="D20" s="293"/>
      <c r="E20" s="293"/>
      <c r="F20" s="293"/>
      <c r="I20" s="69"/>
    </row>
    <row r="21" spans="1:9" ht="38.25" customHeight="1" x14ac:dyDescent="0.6">
      <c r="A21" s="320" t="s">
        <v>133</v>
      </c>
      <c r="B21" s="320"/>
      <c r="C21" s="320"/>
      <c r="D21" s="320"/>
      <c r="E21" s="320"/>
      <c r="F21" s="320"/>
      <c r="I21" s="69"/>
    </row>
    <row r="22" spans="1:9" ht="25.05" customHeight="1" x14ac:dyDescent="0.6">
      <c r="A22" s="293"/>
      <c r="B22" s="293"/>
      <c r="C22" s="293"/>
      <c r="D22" s="293"/>
      <c r="E22" s="293"/>
      <c r="F22" s="293"/>
      <c r="I22" s="69"/>
    </row>
    <row r="23" spans="1:9" ht="38.25" customHeight="1" x14ac:dyDescent="0.6">
      <c r="A23" s="320" t="s">
        <v>134</v>
      </c>
      <c r="B23" s="320"/>
      <c r="C23" s="320"/>
      <c r="D23" s="320"/>
      <c r="E23" s="320"/>
      <c r="F23" s="320"/>
      <c r="I23" s="69"/>
    </row>
    <row r="24" spans="1:9" ht="25.05" customHeight="1" x14ac:dyDescent="0.6">
      <c r="A24" s="325" t="s">
        <v>130</v>
      </c>
      <c r="B24" s="325"/>
      <c r="C24" s="325"/>
      <c r="D24" s="325"/>
      <c r="E24" s="325"/>
      <c r="F24" s="325"/>
      <c r="I24" s="69"/>
    </row>
    <row r="25" spans="1:9" x14ac:dyDescent="0.6">
      <c r="A25" s="1"/>
      <c r="B25" s="1"/>
    </row>
    <row r="26" spans="1:9" ht="25.05" customHeight="1" x14ac:dyDescent="0.6">
      <c r="A26" s="68" t="s">
        <v>118</v>
      </c>
      <c r="B26" s="75" t="s">
        <v>124</v>
      </c>
      <c r="C26" s="309" t="s">
        <v>126</v>
      </c>
      <c r="D26" s="309"/>
      <c r="E26" s="309"/>
      <c r="F26" s="214" t="s">
        <v>125</v>
      </c>
      <c r="I26" s="69"/>
    </row>
    <row r="27" spans="1:9" ht="25.05" customHeight="1" x14ac:dyDescent="0.6">
      <c r="A27" s="215" t="s">
        <v>121</v>
      </c>
      <c r="B27" s="216"/>
      <c r="C27" s="311"/>
      <c r="D27" s="311"/>
      <c r="E27" s="311"/>
      <c r="F27" s="217"/>
    </row>
    <row r="28" spans="1:9" ht="25.05" customHeight="1" x14ac:dyDescent="0.6">
      <c r="A28" s="77" t="s">
        <v>120</v>
      </c>
      <c r="B28" s="210"/>
      <c r="C28" s="303"/>
      <c r="D28" s="303"/>
      <c r="E28" s="303"/>
      <c r="F28" s="211"/>
    </row>
    <row r="29" spans="1:9" ht="25.05" customHeight="1" x14ac:dyDescent="0.6">
      <c r="A29" s="78" t="s">
        <v>119</v>
      </c>
      <c r="B29" s="212"/>
      <c r="C29" s="304"/>
      <c r="D29" s="304"/>
      <c r="E29" s="304"/>
      <c r="F29" s="213"/>
    </row>
    <row r="30" spans="1:9" x14ac:dyDescent="0.6">
      <c r="A30" s="67"/>
      <c r="B30" s="73"/>
      <c r="C30" s="73"/>
      <c r="D30" s="73"/>
      <c r="E30" s="73"/>
      <c r="F30" s="73"/>
    </row>
    <row r="31" spans="1:9" x14ac:dyDescent="0.6">
      <c r="A31" s="305" t="s">
        <v>128</v>
      </c>
      <c r="B31" s="305"/>
      <c r="C31" s="1"/>
      <c r="D31" s="1"/>
      <c r="E31" s="1"/>
      <c r="F31" s="1"/>
    </row>
    <row r="32" spans="1:9" ht="16.899999999999999" customHeight="1" x14ac:dyDescent="0.6">
      <c r="A32" s="306"/>
      <c r="B32" s="306"/>
      <c r="C32" s="74"/>
      <c r="D32" s="74"/>
      <c r="E32" s="74"/>
      <c r="F32" s="1"/>
      <c r="I32" s="69"/>
    </row>
    <row r="33" spans="1:6" ht="25.05" customHeight="1" x14ac:dyDescent="0.6">
      <c r="A33" s="75" t="s">
        <v>122</v>
      </c>
      <c r="B33" s="307"/>
      <c r="C33" s="308"/>
      <c r="D33" s="75" t="s">
        <v>123</v>
      </c>
      <c r="E33" s="307"/>
      <c r="F33" s="308"/>
    </row>
  </sheetData>
  <mergeCells count="30">
    <mergeCell ref="A19:F19"/>
    <mergeCell ref="A21:F21"/>
    <mergeCell ref="A23:F23"/>
    <mergeCell ref="A24:F24"/>
    <mergeCell ref="A20:F20"/>
    <mergeCell ref="A22:F22"/>
    <mergeCell ref="E7:F7"/>
    <mergeCell ref="B7:C7"/>
    <mergeCell ref="B13:C13"/>
    <mergeCell ref="B14:C14"/>
    <mergeCell ref="E12:F12"/>
    <mergeCell ref="E13:F13"/>
    <mergeCell ref="E14:F14"/>
    <mergeCell ref="A10:B11"/>
    <mergeCell ref="A1:F2"/>
    <mergeCell ref="C28:E28"/>
    <mergeCell ref="C29:E29"/>
    <mergeCell ref="A31:B32"/>
    <mergeCell ref="B33:C33"/>
    <mergeCell ref="C26:E26"/>
    <mergeCell ref="E33:F33"/>
    <mergeCell ref="A3:B4"/>
    <mergeCell ref="C27:E27"/>
    <mergeCell ref="B12:C12"/>
    <mergeCell ref="B5:C5"/>
    <mergeCell ref="B6:C6"/>
    <mergeCell ref="E5:F5"/>
    <mergeCell ref="B8:F8"/>
    <mergeCell ref="A16:F16"/>
    <mergeCell ref="E6:F6"/>
  </mergeCells>
  <phoneticPr fontId="3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3047-78A3-4C68-93B5-602A0D06E6E3}">
  <dimension ref="A2:R40"/>
  <sheetViews>
    <sheetView showGridLines="0" view="pageBreakPreview" zoomScale="85" zoomScaleNormal="100" zoomScaleSheetLayoutView="85" workbookViewId="0">
      <selection activeCell="G36" sqref="G36:K36"/>
    </sheetView>
  </sheetViews>
  <sheetFormatPr defaultRowHeight="16.899999999999999" x14ac:dyDescent="0.6"/>
  <cols>
    <col min="1" max="1" width="9" style="1" customWidth="1"/>
    <col min="2" max="2" width="9.0625" style="1" customWidth="1"/>
    <col min="3" max="3" width="13.4375" style="1" bestFit="1" customWidth="1"/>
    <col min="4" max="4" width="10.8125" style="1" customWidth="1"/>
    <col min="5" max="5" width="6.375" style="1" customWidth="1"/>
    <col min="6" max="6" width="12" style="1" customWidth="1"/>
    <col min="7" max="7" width="3.125" style="1" customWidth="1"/>
    <col min="8" max="8" width="9" style="1" customWidth="1"/>
    <col min="9" max="16384" width="9" style="1"/>
  </cols>
  <sheetData>
    <row r="2" spans="1:18" x14ac:dyDescent="0.6">
      <c r="M2" s="293" t="s">
        <v>102</v>
      </c>
      <c r="N2" s="293"/>
      <c r="O2" s="293"/>
      <c r="P2" s="293"/>
      <c r="Q2" s="293"/>
      <c r="R2" s="293"/>
    </row>
    <row r="3" spans="1:18" ht="16.899999999999999" customHeight="1" x14ac:dyDescent="0.6">
      <c r="A3" s="49"/>
      <c r="C3" s="332" t="str">
        <f>고객상담일지!B5</f>
        <v>홍길동</v>
      </c>
      <c r="D3" s="332"/>
      <c r="E3" s="332"/>
      <c r="F3" s="329" t="s">
        <v>81</v>
      </c>
      <c r="G3" s="329"/>
      <c r="H3" s="329"/>
    </row>
    <row r="4" spans="1:18" ht="20.65" customHeight="1" x14ac:dyDescent="0.6">
      <c r="A4" s="49"/>
      <c r="B4" s="60"/>
      <c r="C4" s="332"/>
      <c r="D4" s="332"/>
      <c r="E4" s="332"/>
      <c r="F4" s="329"/>
      <c r="G4" s="329"/>
      <c r="H4" s="329"/>
    </row>
    <row r="6" spans="1:18" ht="76.25" customHeight="1" x14ac:dyDescent="0.6">
      <c r="A6"/>
      <c r="B6" s="59"/>
      <c r="C6" s="59"/>
      <c r="D6" s="59"/>
      <c r="E6" s="59"/>
      <c r="F6" s="59"/>
      <c r="G6" s="59"/>
      <c r="H6" s="59"/>
      <c r="I6" s="59"/>
    </row>
    <row r="7" spans="1:18" x14ac:dyDescent="0.6">
      <c r="C7"/>
      <c r="D7"/>
      <c r="E7"/>
      <c r="F7"/>
      <c r="G7"/>
      <c r="H7"/>
      <c r="I7"/>
      <c r="J7"/>
    </row>
    <row r="8" spans="1:18" x14ac:dyDescent="0.6">
      <c r="B8" s="330" t="s">
        <v>95</v>
      </c>
      <c r="C8" s="330"/>
      <c r="D8" s="330"/>
      <c r="E8" s="330"/>
      <c r="F8" s="330"/>
      <c r="G8" s="330"/>
      <c r="H8" s="330"/>
      <c r="I8" s="330"/>
      <c r="J8" s="330"/>
    </row>
    <row r="9" spans="1:18" x14ac:dyDescent="0.6">
      <c r="B9" s="330" t="s">
        <v>101</v>
      </c>
      <c r="C9" s="330"/>
      <c r="D9" s="330"/>
      <c r="E9" s="330"/>
      <c r="F9" s="330"/>
      <c r="G9" s="330"/>
      <c r="H9" s="330"/>
      <c r="I9" s="330"/>
      <c r="J9" s="330"/>
    </row>
    <row r="10" spans="1:18" x14ac:dyDescent="0.6">
      <c r="C10"/>
      <c r="D10"/>
      <c r="E10"/>
      <c r="F10"/>
      <c r="G10"/>
      <c r="H10"/>
      <c r="I10"/>
      <c r="J10"/>
    </row>
    <row r="11" spans="1:18" x14ac:dyDescent="0.6">
      <c r="G11" s="65"/>
    </row>
    <row r="13" spans="1:18" ht="27.4" customHeight="1" x14ac:dyDescent="0.6">
      <c r="B13" s="54"/>
      <c r="C13" s="61" t="str">
        <f>C3</f>
        <v>홍길동</v>
      </c>
      <c r="D13" s="51" t="s">
        <v>89</v>
      </c>
    </row>
    <row r="14" spans="1:18" ht="5.65" customHeight="1" x14ac:dyDescent="0.6">
      <c r="B14" s="54"/>
      <c r="C14" s="51"/>
    </row>
    <row r="15" spans="1:18" x14ac:dyDescent="0.6">
      <c r="B15" s="55" t="s">
        <v>88</v>
      </c>
      <c r="C15" s="56">
        <f>COUNTA(보장분석!E2:CA2)</f>
        <v>1</v>
      </c>
      <c r="D15" s="51" t="s">
        <v>91</v>
      </c>
    </row>
    <row r="16" spans="1:18" x14ac:dyDescent="0.6">
      <c r="B16" s="55" t="s">
        <v>77</v>
      </c>
      <c r="C16" s="57">
        <f>보장분석!A5</f>
        <v>150000</v>
      </c>
      <c r="D16" s="51" t="s">
        <v>92</v>
      </c>
      <c r="I16" s="51"/>
    </row>
    <row r="17" spans="2:10" x14ac:dyDescent="0.6">
      <c r="B17" s="55"/>
      <c r="E17" s="328">
        <f ca="1">C18/C20</f>
        <v>8.3333333333333332E-3</v>
      </c>
    </row>
    <row r="18" spans="2:10" x14ac:dyDescent="0.6">
      <c r="B18" s="55" t="s">
        <v>7</v>
      </c>
      <c r="C18" s="58">
        <f ca="1">SUM(보장분석!E7:CA7)</f>
        <v>450000</v>
      </c>
      <c r="D18" s="51" t="s">
        <v>92</v>
      </c>
      <c r="E18" s="328"/>
    </row>
    <row r="19" spans="2:10" x14ac:dyDescent="0.6">
      <c r="B19" s="55" t="s">
        <v>8</v>
      </c>
      <c r="C19" s="58">
        <f ca="1">SUM(보장분석!E6:CA6)</f>
        <v>53550000</v>
      </c>
      <c r="D19" s="51" t="s">
        <v>92</v>
      </c>
    </row>
    <row r="20" spans="2:10" x14ac:dyDescent="0.6">
      <c r="B20" s="55" t="s">
        <v>90</v>
      </c>
      <c r="C20" s="57">
        <f ca="1">SUM(C18:C19)</f>
        <v>54000000</v>
      </c>
      <c r="D20" s="51" t="s">
        <v>92</v>
      </c>
    </row>
    <row r="22" spans="2:10" x14ac:dyDescent="0.6">
      <c r="E22" s="65"/>
    </row>
    <row r="23" spans="2:10" x14ac:dyDescent="0.6">
      <c r="G23" s="65"/>
      <c r="H23" s="65"/>
    </row>
    <row r="29" spans="2:10" x14ac:dyDescent="0.6">
      <c r="J29"/>
    </row>
    <row r="35" spans="6:12" ht="17.25" thickBot="1" x14ac:dyDescent="0.65">
      <c r="F35" s="50"/>
      <c r="G35" s="50"/>
      <c r="H35" s="50"/>
      <c r="I35" s="50"/>
      <c r="J35" s="50"/>
      <c r="K35" s="50"/>
    </row>
    <row r="36" spans="6:12" ht="26.55" customHeight="1" x14ac:dyDescent="0.6">
      <c r="F36" s="52" t="s">
        <v>82</v>
      </c>
      <c r="G36" s="293" t="s">
        <v>78</v>
      </c>
      <c r="H36" s="293"/>
      <c r="I36" s="293"/>
      <c r="J36" s="293"/>
      <c r="K36" s="293"/>
      <c r="L36"/>
    </row>
    <row r="37" spans="6:12" ht="26.55" customHeight="1" x14ac:dyDescent="0.6">
      <c r="F37" s="53" t="s">
        <v>83</v>
      </c>
      <c r="G37" s="331" t="s">
        <v>86</v>
      </c>
      <c r="H37" s="331"/>
      <c r="I37" s="331"/>
      <c r="J37" s="331"/>
      <c r="K37" s="331"/>
    </row>
    <row r="38" spans="6:12" ht="26.55" customHeight="1" x14ac:dyDescent="0.6">
      <c r="F38" s="53" t="s">
        <v>84</v>
      </c>
      <c r="G38" s="331" t="s">
        <v>79</v>
      </c>
      <c r="H38" s="331"/>
      <c r="I38" s="331"/>
      <c r="J38" s="331"/>
      <c r="K38" s="331"/>
    </row>
    <row r="39" spans="6:12" ht="26.55" customHeight="1" x14ac:dyDescent="0.6">
      <c r="F39" s="53" t="s">
        <v>85</v>
      </c>
      <c r="G39" s="331" t="s">
        <v>87</v>
      </c>
      <c r="H39" s="331"/>
      <c r="I39" s="331"/>
      <c r="J39" s="331"/>
      <c r="K39" s="331"/>
    </row>
    <row r="40" spans="6:12" ht="26.55" customHeight="1" x14ac:dyDescent="0.6">
      <c r="F40" s="62" t="s">
        <v>93</v>
      </c>
      <c r="G40" s="326" t="s">
        <v>94</v>
      </c>
      <c r="H40" s="327"/>
      <c r="I40" s="327"/>
      <c r="J40" s="327"/>
      <c r="K40" s="327"/>
    </row>
  </sheetData>
  <mergeCells count="11">
    <mergeCell ref="M2:R2"/>
    <mergeCell ref="G40:K40"/>
    <mergeCell ref="E17:E18"/>
    <mergeCell ref="F3:H4"/>
    <mergeCell ref="B8:J8"/>
    <mergeCell ref="B9:J9"/>
    <mergeCell ref="G36:K36"/>
    <mergeCell ref="G37:K37"/>
    <mergeCell ref="G38:K38"/>
    <mergeCell ref="G39:K39"/>
    <mergeCell ref="C3:E4"/>
  </mergeCells>
  <phoneticPr fontId="3" type="noConversion"/>
  <hyperlinks>
    <hyperlink ref="G40" r:id="rId1" xr:uid="{C7CC9249-7131-4AFD-8FC8-1D1BB1A01BB6}"/>
  </hyperlinks>
  <printOptions horizontalCentered="1" verticalCentered="1"/>
  <pageMargins left="0" right="0" top="0" bottom="0" header="0" footer="0"/>
  <pageSetup paperSize="9" scale="97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FCF9-F290-4F3A-9C3C-52FE31651AF2}">
  <sheetPr>
    <tabColor theme="5" tint="0.59999389629810485"/>
  </sheetPr>
  <dimension ref="A1:Y105"/>
  <sheetViews>
    <sheetView showGridLines="0" view="pageBreakPreview" zoomScale="85" zoomScaleNormal="100" zoomScaleSheetLayoutView="85" workbookViewId="0">
      <selection activeCell="E9" sqref="E9"/>
    </sheetView>
  </sheetViews>
  <sheetFormatPr defaultRowHeight="15.75" x14ac:dyDescent="0.6"/>
  <cols>
    <col min="1" max="1" width="6.5625" style="2" customWidth="1"/>
    <col min="2" max="2" width="22.0625" style="2" customWidth="1"/>
    <col min="3" max="3" width="0.8125" style="2" customWidth="1"/>
    <col min="4" max="49" width="23.5625" style="2" customWidth="1"/>
    <col min="50" max="16384" width="9" style="2"/>
  </cols>
  <sheetData>
    <row r="1" spans="1:25" ht="17.100000000000001" customHeight="1" x14ac:dyDescent="0.6">
      <c r="A1" s="356"/>
      <c r="B1" s="356"/>
      <c r="C1" s="360"/>
      <c r="D1" s="21" t="s">
        <v>162</v>
      </c>
      <c r="E1" s="22" t="s">
        <v>62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57" customHeight="1" x14ac:dyDescent="0.6">
      <c r="A2" s="356"/>
      <c r="B2" s="356"/>
      <c r="C2" s="360"/>
      <c r="D2" s="37" t="s">
        <v>1</v>
      </c>
      <c r="E2" s="38" t="s">
        <v>140</v>
      </c>
      <c r="F2" s="38"/>
      <c r="G2" s="38"/>
      <c r="H2" s="38"/>
      <c r="I2" s="38"/>
      <c r="J2" s="3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7.100000000000001" customHeight="1" x14ac:dyDescent="0.6">
      <c r="A3" s="349" t="s">
        <v>76</v>
      </c>
      <c r="B3" s="349"/>
      <c r="C3" s="29"/>
      <c r="D3" s="26" t="s">
        <v>2</v>
      </c>
      <c r="E3" s="17">
        <v>30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s="3" customFormat="1" ht="17.100000000000001" customHeight="1" thickBot="1" x14ac:dyDescent="0.65">
      <c r="A4" s="350"/>
      <c r="B4" s="350"/>
      <c r="C4" s="29"/>
      <c r="D4" s="27" t="s">
        <v>10</v>
      </c>
      <c r="E4" s="225">
        <v>46023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3" customFormat="1" ht="17.100000000000001" customHeight="1" thickTop="1" x14ac:dyDescent="0.6">
      <c r="A5" s="342">
        <f>SUM(E8:CA8)</f>
        <v>150000</v>
      </c>
      <c r="B5" s="342"/>
      <c r="C5" s="30"/>
      <c r="D5" s="27" t="s">
        <v>11</v>
      </c>
      <c r="E5" s="7">
        <v>71590</v>
      </c>
      <c r="F5" s="7" t="s">
        <v>410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64" customFormat="1" ht="17.100000000000001" customHeight="1" x14ac:dyDescent="0.6">
      <c r="A6" s="342"/>
      <c r="B6" s="342"/>
      <c r="C6" s="63"/>
      <c r="D6" s="33" t="s">
        <v>8</v>
      </c>
      <c r="E6" s="34">
        <f t="shared" ref="E6:J6" ca="1" si="0">IF(E4="","",MAX(E3*12-MIN(DATEDIF(E4,TODAY(),"m"),E3*12),0)*E8)</f>
        <v>53550000</v>
      </c>
      <c r="F6" s="34" t="str">
        <f t="shared" ca="1" si="0"/>
        <v/>
      </c>
      <c r="G6" s="34" t="str">
        <f t="shared" ca="1" si="0"/>
        <v/>
      </c>
      <c r="H6" s="34" t="str">
        <f t="shared" ca="1" si="0"/>
        <v/>
      </c>
      <c r="I6" s="34" t="str">
        <f t="shared" ca="1" si="0"/>
        <v/>
      </c>
      <c r="J6" s="34" t="str">
        <f t="shared" ca="1" si="0"/>
        <v/>
      </c>
      <c r="K6" s="34" t="str">
        <f t="shared" ref="K6:Y6" ca="1" si="1">IF(K4="","",MAX(K3*12-MIN(DATEDIF(K4,TODAY(),"m"),K3*12),0)*K8)</f>
        <v/>
      </c>
      <c r="L6" s="34" t="str">
        <f t="shared" ca="1" si="1"/>
        <v/>
      </c>
      <c r="M6" s="34" t="str">
        <f t="shared" ca="1" si="1"/>
        <v/>
      </c>
      <c r="N6" s="34" t="str">
        <f t="shared" ca="1" si="1"/>
        <v/>
      </c>
      <c r="O6" s="34" t="str">
        <f t="shared" ca="1" si="1"/>
        <v/>
      </c>
      <c r="P6" s="34" t="str">
        <f t="shared" ca="1" si="1"/>
        <v/>
      </c>
      <c r="Q6" s="34" t="str">
        <f t="shared" ca="1" si="1"/>
        <v/>
      </c>
      <c r="R6" s="34" t="str">
        <f t="shared" ca="1" si="1"/>
        <v/>
      </c>
      <c r="S6" s="34" t="str">
        <f t="shared" ca="1" si="1"/>
        <v/>
      </c>
      <c r="T6" s="34" t="str">
        <f t="shared" ca="1" si="1"/>
        <v/>
      </c>
      <c r="U6" s="34" t="str">
        <f t="shared" ca="1" si="1"/>
        <v/>
      </c>
      <c r="V6" s="34" t="str">
        <f t="shared" ca="1" si="1"/>
        <v/>
      </c>
      <c r="W6" s="34" t="str">
        <f t="shared" ca="1" si="1"/>
        <v/>
      </c>
      <c r="X6" s="34" t="str">
        <f t="shared" ca="1" si="1"/>
        <v/>
      </c>
      <c r="Y6" s="34" t="str">
        <f t="shared" ca="1" si="1"/>
        <v/>
      </c>
    </row>
    <row r="7" spans="1:25" s="4" customFormat="1" ht="17.100000000000001" hidden="1" customHeight="1" x14ac:dyDescent="0.6">
      <c r="A7" s="343"/>
      <c r="B7" s="343"/>
      <c r="C7" s="30"/>
      <c r="D7" s="32" t="s">
        <v>7</v>
      </c>
      <c r="E7" s="31">
        <f ca="1">IF(E4="","",IF(TODAY()&lt;E4,0,MIN(DATEDIF(E4,TODAY(),"m"),E3*12)*E8))</f>
        <v>450000</v>
      </c>
      <c r="F7" s="8" t="str">
        <f ca="1">IF(F4="","",IF(TODAY()&lt;F4,0,MIN(DATEDIF(F4,TODAY(),"m"),F3*12)*F8))</f>
        <v/>
      </c>
      <c r="G7" s="8" t="str">
        <f ca="1">IF(G4="","",IF(TODAY()&lt;G4,0,MIN(DATEDIF(G4,TODAY(),"m"),G3*12)*G8))</f>
        <v/>
      </c>
      <c r="H7" s="8" t="str">
        <f ca="1">IF(H4="","",IF(TODAY()&lt;H4,0,MIN(DATEDIF(H4,TODAY(),"m"),H3*12)*H8))</f>
        <v/>
      </c>
      <c r="I7" s="8" t="str">
        <f ca="1">IF(I4="","",IF(TODAY()&lt;I4,0,MIN(DATEDIF(I4,TODAY(),"m"),I3*12)*I8))</f>
        <v/>
      </c>
      <c r="J7" s="8"/>
      <c r="K7" s="8" t="str">
        <f t="shared" ref="K7:Y7" ca="1" si="2">IF(K4="","",IF(TODAY()&lt;K4,0,MIN(DATEDIF(K4,TODAY(),"m"),K3*12)*K8))</f>
        <v/>
      </c>
      <c r="L7" s="8" t="str">
        <f t="shared" ca="1" si="2"/>
        <v/>
      </c>
      <c r="M7" s="8" t="str">
        <f t="shared" ca="1" si="2"/>
        <v/>
      </c>
      <c r="N7" s="8" t="str">
        <f t="shared" ca="1" si="2"/>
        <v/>
      </c>
      <c r="O7" s="8" t="str">
        <f t="shared" ca="1" si="2"/>
        <v/>
      </c>
      <c r="P7" s="8" t="str">
        <f t="shared" ca="1" si="2"/>
        <v/>
      </c>
      <c r="Q7" s="8" t="str">
        <f t="shared" ca="1" si="2"/>
        <v/>
      </c>
      <c r="R7" s="8" t="str">
        <f t="shared" ca="1" si="2"/>
        <v/>
      </c>
      <c r="S7" s="8" t="str">
        <f t="shared" ca="1" si="2"/>
        <v/>
      </c>
      <c r="T7" s="8" t="str">
        <f t="shared" ca="1" si="2"/>
        <v/>
      </c>
      <c r="U7" s="8" t="str">
        <f t="shared" ca="1" si="2"/>
        <v/>
      </c>
      <c r="V7" s="8" t="str">
        <f t="shared" ca="1" si="2"/>
        <v/>
      </c>
      <c r="W7" s="8" t="str">
        <f t="shared" ca="1" si="2"/>
        <v/>
      </c>
      <c r="X7" s="8" t="str">
        <f t="shared" ca="1" si="2"/>
        <v/>
      </c>
      <c r="Y7" s="8" t="str">
        <f t="shared" ca="1" si="2"/>
        <v/>
      </c>
    </row>
    <row r="8" spans="1:25" s="19" customFormat="1" ht="17.100000000000001" customHeight="1" x14ac:dyDescent="0.6">
      <c r="A8" s="344"/>
      <c r="B8" s="344"/>
      <c r="C8" s="28"/>
      <c r="D8" s="39" t="s">
        <v>77</v>
      </c>
      <c r="E8" s="40">
        <v>150000</v>
      </c>
      <c r="F8" s="40"/>
      <c r="G8" s="40"/>
      <c r="H8" s="40"/>
      <c r="I8" s="40"/>
      <c r="J8" s="40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s="6" customFormat="1" ht="17.100000000000001" customHeight="1" x14ac:dyDescent="0.6">
      <c r="A9" s="340" t="s">
        <v>3</v>
      </c>
      <c r="B9" s="345" t="s">
        <v>4</v>
      </c>
      <c r="C9" s="346"/>
      <c r="D9" s="42" t="str">
        <f>IF(SUM(E9:CA9)=0,"",
IF(SUM(E9:CA9)&gt;=10000,
INT(SUM(E9:CA9)/10000)&amp;"억"&amp;IF(MOD(SUM(E9:CA9),10000)=0,"",TEXT(MOD(SUM(E9:CA9),10000),"#,##0")&amp;"만원"),
TEXT(SUM(E9:CA9),"#,##0")&amp;"만원"))</f>
        <v>3,000만원</v>
      </c>
      <c r="E9" s="245">
        <v>3000</v>
      </c>
      <c r="F9" s="245"/>
      <c r="G9" s="245"/>
      <c r="H9" s="245"/>
      <c r="I9" s="245"/>
      <c r="J9" s="245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6" customFormat="1" ht="17.100000000000001" customHeight="1" x14ac:dyDescent="0.6">
      <c r="A10" s="341"/>
      <c r="B10" s="335" t="s">
        <v>5</v>
      </c>
      <c r="C10" s="336"/>
      <c r="D10" s="42" t="str">
        <f t="shared" ref="D10:D63" si="3">IF(SUM(E10:CA10)=0,"",
IF(SUM(E10:CA10)&gt;=10000,
INT(SUM(E10:CA10)/10000)&amp;"억"&amp;IF(MOD(SUM(E10:CA10),10000)=0,"",TEXT(MOD(SUM(E10:CA10),10000),"#,##0")&amp;"만원"),
TEXT(SUM(E10:CA10),"#,##0")&amp;"만원"))</f>
        <v/>
      </c>
      <c r="E10" s="246"/>
      <c r="F10" s="246"/>
      <c r="G10" s="246"/>
      <c r="H10" s="246"/>
      <c r="I10" s="246"/>
      <c r="J10" s="246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6" customFormat="1" ht="17.100000000000001" customHeight="1" x14ac:dyDescent="0.6">
      <c r="A11" s="341"/>
      <c r="B11" s="347" t="s">
        <v>6</v>
      </c>
      <c r="C11" s="348"/>
      <c r="D11" s="42" t="str">
        <f t="shared" si="3"/>
        <v/>
      </c>
      <c r="E11" s="247"/>
      <c r="F11" s="247"/>
      <c r="G11" s="247"/>
      <c r="H11" s="247"/>
      <c r="I11" s="247"/>
      <c r="J11" s="24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s="6" customFormat="1" ht="17.100000000000001" customHeight="1" x14ac:dyDescent="0.6">
      <c r="A12" s="337" t="s">
        <v>12</v>
      </c>
      <c r="B12" s="333" t="s">
        <v>13</v>
      </c>
      <c r="C12" s="334"/>
      <c r="D12" s="43" t="str">
        <f t="shared" si="3"/>
        <v/>
      </c>
      <c r="E12" s="248"/>
      <c r="F12" s="248"/>
      <c r="G12" s="248"/>
      <c r="H12" s="248"/>
      <c r="I12" s="248"/>
      <c r="J12" s="24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s="6" customFormat="1" ht="17.100000000000001" customHeight="1" x14ac:dyDescent="0.6">
      <c r="A13" s="337"/>
      <c r="B13" s="335" t="s">
        <v>14</v>
      </c>
      <c r="C13" s="336"/>
      <c r="D13" s="44" t="str">
        <f t="shared" si="3"/>
        <v/>
      </c>
      <c r="E13" s="249"/>
      <c r="F13" s="249"/>
      <c r="G13" s="249"/>
      <c r="H13" s="249"/>
      <c r="I13" s="249"/>
      <c r="J13" s="249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s="6" customFormat="1" ht="17.100000000000001" customHeight="1" x14ac:dyDescent="0.6">
      <c r="A14" s="337"/>
      <c r="B14" s="335" t="s">
        <v>15</v>
      </c>
      <c r="C14" s="336"/>
      <c r="D14" s="44" t="str">
        <f t="shared" si="3"/>
        <v/>
      </c>
      <c r="E14" s="249"/>
      <c r="F14" s="249"/>
      <c r="G14" s="249"/>
      <c r="H14" s="249"/>
      <c r="I14" s="249"/>
      <c r="J14" s="249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s="6" customFormat="1" ht="17.100000000000001" customHeight="1" x14ac:dyDescent="0.6">
      <c r="A15" s="337"/>
      <c r="B15" s="347" t="s">
        <v>16</v>
      </c>
      <c r="C15" s="348"/>
      <c r="D15" s="45" t="str">
        <f t="shared" si="3"/>
        <v/>
      </c>
      <c r="E15" s="250"/>
      <c r="F15" s="250"/>
      <c r="G15" s="250"/>
      <c r="H15" s="250"/>
      <c r="I15" s="250"/>
      <c r="J15" s="25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s="6" customFormat="1" ht="17.100000000000001" customHeight="1" x14ac:dyDescent="0.6">
      <c r="A16" s="339" t="s">
        <v>17</v>
      </c>
      <c r="B16" s="333" t="s">
        <v>18</v>
      </c>
      <c r="C16" s="334"/>
      <c r="D16" s="43" t="str">
        <f t="shared" si="3"/>
        <v/>
      </c>
      <c r="E16" s="248"/>
      <c r="F16" s="248"/>
      <c r="G16" s="248"/>
      <c r="H16" s="248"/>
      <c r="I16" s="248"/>
      <c r="J16" s="24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s="6" customFormat="1" ht="17.100000000000001" customHeight="1" x14ac:dyDescent="0.6">
      <c r="A17" s="339"/>
      <c r="B17" s="335" t="s">
        <v>74</v>
      </c>
      <c r="C17" s="336"/>
      <c r="D17" s="46" t="str">
        <f t="shared" si="3"/>
        <v/>
      </c>
      <c r="E17" s="251"/>
      <c r="F17" s="251"/>
      <c r="G17" s="251"/>
      <c r="H17" s="251"/>
      <c r="I17" s="251"/>
      <c r="J17" s="25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s="6" customFormat="1" ht="17.100000000000001" customHeight="1" x14ac:dyDescent="0.6">
      <c r="A18" s="339"/>
      <c r="B18" s="335" t="s">
        <v>19</v>
      </c>
      <c r="C18" s="336"/>
      <c r="D18" s="44" t="str">
        <f t="shared" si="3"/>
        <v/>
      </c>
      <c r="E18" s="249"/>
      <c r="F18" s="249"/>
      <c r="G18" s="249"/>
      <c r="H18" s="249"/>
      <c r="I18" s="249"/>
      <c r="J18" s="249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s="6" customFormat="1" ht="17.100000000000001" customHeight="1" x14ac:dyDescent="0.6">
      <c r="A19" s="339"/>
      <c r="B19" s="335" t="s">
        <v>71</v>
      </c>
      <c r="C19" s="336"/>
      <c r="D19" s="44" t="str">
        <f t="shared" si="3"/>
        <v/>
      </c>
      <c r="E19" s="249"/>
      <c r="F19" s="249"/>
      <c r="G19" s="249"/>
      <c r="H19" s="249"/>
      <c r="I19" s="249"/>
      <c r="J19" s="249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s="6" customFormat="1" ht="17.100000000000001" customHeight="1" x14ac:dyDescent="0.6">
      <c r="A20" s="339"/>
      <c r="B20" s="347" t="s">
        <v>72</v>
      </c>
      <c r="C20" s="348"/>
      <c r="D20" s="45" t="str">
        <f t="shared" si="3"/>
        <v/>
      </c>
      <c r="E20" s="250"/>
      <c r="F20" s="250"/>
      <c r="G20" s="250"/>
      <c r="H20" s="250"/>
      <c r="I20" s="250"/>
      <c r="J20" s="25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s="6" customFormat="1" ht="17.100000000000001" customHeight="1" x14ac:dyDescent="0.6">
      <c r="A21" s="337" t="s">
        <v>20</v>
      </c>
      <c r="B21" s="333" t="s">
        <v>21</v>
      </c>
      <c r="C21" s="334"/>
      <c r="D21" s="43" t="str">
        <f t="shared" si="3"/>
        <v>3,000만원</v>
      </c>
      <c r="E21" s="248">
        <v>3000</v>
      </c>
      <c r="F21" s="248"/>
      <c r="G21" s="248"/>
      <c r="H21" s="248"/>
      <c r="I21" s="248"/>
      <c r="J21" s="24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s="6" customFormat="1" ht="17.100000000000001" customHeight="1" x14ac:dyDescent="0.6">
      <c r="A22" s="337"/>
      <c r="B22" s="335" t="s">
        <v>22</v>
      </c>
      <c r="C22" s="336"/>
      <c r="D22" s="44" t="str">
        <f t="shared" si="3"/>
        <v>600만원</v>
      </c>
      <c r="E22" s="249">
        <v>600</v>
      </c>
      <c r="F22" s="249"/>
      <c r="G22" s="249"/>
      <c r="H22" s="249"/>
      <c r="I22" s="249"/>
      <c r="J22" s="249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s="6" customFormat="1" ht="17.100000000000001" customHeight="1" x14ac:dyDescent="0.6">
      <c r="A23" s="337"/>
      <c r="B23" s="335" t="s">
        <v>23</v>
      </c>
      <c r="C23" s="336"/>
      <c r="D23" s="44" t="str">
        <f t="shared" si="3"/>
        <v/>
      </c>
      <c r="E23" s="249"/>
      <c r="F23" s="249"/>
      <c r="G23" s="249"/>
      <c r="H23" s="249"/>
      <c r="I23" s="249"/>
      <c r="J23" s="249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s="6" customFormat="1" ht="17.100000000000001" customHeight="1" x14ac:dyDescent="0.6">
      <c r="A24" s="337"/>
      <c r="B24" s="335" t="s">
        <v>65</v>
      </c>
      <c r="C24" s="336"/>
      <c r="D24" s="47" t="str">
        <f t="shared" si="3"/>
        <v/>
      </c>
      <c r="E24" s="252"/>
      <c r="F24" s="252"/>
      <c r="G24" s="252"/>
      <c r="H24" s="252"/>
      <c r="I24" s="252"/>
      <c r="J24" s="252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s="6" customFormat="1" ht="17.100000000000001" customHeight="1" x14ac:dyDescent="0.6">
      <c r="A25" s="337"/>
      <c r="B25" s="335" t="s">
        <v>66</v>
      </c>
      <c r="C25" s="336"/>
      <c r="D25" s="47" t="str">
        <f t="shared" si="3"/>
        <v>1억</v>
      </c>
      <c r="E25" s="252">
        <v>10000</v>
      </c>
      <c r="F25" s="252"/>
      <c r="G25" s="252"/>
      <c r="H25" s="252"/>
      <c r="I25" s="252"/>
      <c r="J25" s="252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s="6" customFormat="1" ht="17.100000000000001" customHeight="1" x14ac:dyDescent="0.6">
      <c r="A26" s="337"/>
      <c r="B26" s="347" t="s">
        <v>67</v>
      </c>
      <c r="C26" s="348"/>
      <c r="D26" s="45" t="str">
        <f t="shared" si="3"/>
        <v>1억</v>
      </c>
      <c r="E26" s="250">
        <v>10000</v>
      </c>
      <c r="F26" s="250"/>
      <c r="G26" s="250"/>
      <c r="H26" s="250"/>
      <c r="I26" s="250"/>
      <c r="J26" s="25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s="6" customFormat="1" ht="17.100000000000001" customHeight="1" x14ac:dyDescent="0.6">
      <c r="A27" s="338" t="s">
        <v>24</v>
      </c>
      <c r="B27" s="333" t="s">
        <v>25</v>
      </c>
      <c r="C27" s="334"/>
      <c r="D27" s="46" t="str">
        <f t="shared" si="3"/>
        <v>1,000만원</v>
      </c>
      <c r="E27" s="251">
        <v>1000</v>
      </c>
      <c r="F27" s="251"/>
      <c r="G27" s="251"/>
      <c r="H27" s="251"/>
      <c r="I27" s="251"/>
      <c r="J27" s="251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s="6" customFormat="1" ht="17.100000000000001" customHeight="1" x14ac:dyDescent="0.6">
      <c r="A28" s="337"/>
      <c r="B28" s="335" t="s">
        <v>26</v>
      </c>
      <c r="C28" s="336"/>
      <c r="D28" s="44" t="str">
        <f t="shared" si="3"/>
        <v/>
      </c>
      <c r="E28" s="249"/>
      <c r="F28" s="249"/>
      <c r="G28" s="249"/>
      <c r="H28" s="249"/>
      <c r="I28" s="249"/>
      <c r="J28" s="249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s="6" customFormat="1" ht="17.100000000000001" customHeight="1" x14ac:dyDescent="0.6">
      <c r="A29" s="337"/>
      <c r="B29" s="335" t="s">
        <v>27</v>
      </c>
      <c r="C29" s="336"/>
      <c r="D29" s="44" t="str">
        <f t="shared" si="3"/>
        <v>3,000만원</v>
      </c>
      <c r="E29" s="249">
        <v>3000</v>
      </c>
      <c r="F29" s="249"/>
      <c r="G29" s="249"/>
      <c r="H29" s="249"/>
      <c r="I29" s="249"/>
      <c r="J29" s="249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s="6" customFormat="1" ht="17.100000000000001" customHeight="1" x14ac:dyDescent="0.6">
      <c r="A30" s="337"/>
      <c r="B30" s="335" t="s">
        <v>28</v>
      </c>
      <c r="C30" s="336"/>
      <c r="D30" s="44" t="str">
        <f t="shared" si="3"/>
        <v/>
      </c>
      <c r="E30" s="249"/>
      <c r="F30" s="249"/>
      <c r="G30" s="249"/>
      <c r="H30" s="249"/>
      <c r="I30" s="249"/>
      <c r="J30" s="24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s="6" customFormat="1" ht="17.100000000000001" customHeight="1" x14ac:dyDescent="0.6">
      <c r="A31" s="337"/>
      <c r="B31" s="335" t="s">
        <v>29</v>
      </c>
      <c r="C31" s="336"/>
      <c r="D31" s="47" t="str">
        <f t="shared" si="3"/>
        <v>1,000만원</v>
      </c>
      <c r="E31" s="252">
        <v>1000</v>
      </c>
      <c r="F31" s="252"/>
      <c r="G31" s="252"/>
      <c r="H31" s="252"/>
      <c r="I31" s="252"/>
      <c r="J31" s="252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s="6" customFormat="1" ht="17.100000000000001" customHeight="1" x14ac:dyDescent="0.6">
      <c r="A32" s="337"/>
      <c r="B32" s="347" t="s">
        <v>69</v>
      </c>
      <c r="C32" s="348"/>
      <c r="D32" s="47" t="str">
        <f t="shared" si="3"/>
        <v/>
      </c>
      <c r="E32" s="252"/>
      <c r="F32" s="252"/>
      <c r="G32" s="252"/>
      <c r="H32" s="252"/>
      <c r="I32" s="252"/>
      <c r="J32" s="252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s="6" customFormat="1" ht="17.100000000000001" customHeight="1" x14ac:dyDescent="0.6">
      <c r="A33" s="337" t="s">
        <v>30</v>
      </c>
      <c r="B33" s="333" t="s">
        <v>68</v>
      </c>
      <c r="C33" s="334"/>
      <c r="D33" s="43" t="str">
        <f t="shared" si="3"/>
        <v/>
      </c>
      <c r="E33" s="248"/>
      <c r="F33" s="248"/>
      <c r="G33" s="248"/>
      <c r="H33" s="248"/>
      <c r="I33" s="248"/>
      <c r="J33" s="24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s="6" customFormat="1" ht="17.100000000000001" customHeight="1" x14ac:dyDescent="0.6">
      <c r="A34" s="337"/>
      <c r="B34" s="335" t="s">
        <v>75</v>
      </c>
      <c r="C34" s="336"/>
      <c r="D34" s="46" t="str">
        <f t="shared" si="3"/>
        <v/>
      </c>
      <c r="E34" s="251"/>
      <c r="F34" s="251"/>
      <c r="G34" s="251"/>
      <c r="H34" s="251"/>
      <c r="I34" s="251"/>
      <c r="J34" s="251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s="6" customFormat="1" ht="17.100000000000001" customHeight="1" x14ac:dyDescent="0.6">
      <c r="A35" s="337"/>
      <c r="B35" s="335" t="s">
        <v>31</v>
      </c>
      <c r="C35" s="336"/>
      <c r="D35" s="44" t="str">
        <f t="shared" si="3"/>
        <v>3,000만원</v>
      </c>
      <c r="E35" s="249">
        <v>3000</v>
      </c>
      <c r="F35" s="249"/>
      <c r="G35" s="249"/>
      <c r="H35" s="249"/>
      <c r="I35" s="249"/>
      <c r="J35" s="249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s="6" customFormat="1" ht="17.100000000000001" customHeight="1" x14ac:dyDescent="0.6">
      <c r="A36" s="337"/>
      <c r="B36" s="335" t="s">
        <v>28</v>
      </c>
      <c r="C36" s="336"/>
      <c r="D36" s="44" t="str">
        <f t="shared" si="3"/>
        <v/>
      </c>
      <c r="E36" s="249"/>
      <c r="F36" s="249"/>
      <c r="G36" s="249"/>
      <c r="H36" s="249"/>
      <c r="I36" s="249"/>
      <c r="J36" s="24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s="6" customFormat="1" ht="17.100000000000001" customHeight="1" x14ac:dyDescent="0.6">
      <c r="A37" s="355"/>
      <c r="B37" s="335" t="s">
        <v>73</v>
      </c>
      <c r="C37" s="336"/>
      <c r="D37" s="47" t="str">
        <f t="shared" si="3"/>
        <v>1,000만원</v>
      </c>
      <c r="E37" s="252">
        <v>1000</v>
      </c>
      <c r="F37" s="252"/>
      <c r="G37" s="252"/>
      <c r="H37" s="252"/>
      <c r="I37" s="252"/>
      <c r="J37" s="252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s="6" customFormat="1" ht="17.100000000000001" customHeight="1" x14ac:dyDescent="0.6">
      <c r="A38" s="355"/>
      <c r="B38" s="347" t="s">
        <v>69</v>
      </c>
      <c r="C38" s="348"/>
      <c r="D38" s="47" t="str">
        <f t="shared" si="3"/>
        <v/>
      </c>
      <c r="E38" s="252"/>
      <c r="F38" s="252"/>
      <c r="G38" s="252"/>
      <c r="H38" s="252"/>
      <c r="I38" s="252"/>
      <c r="J38" s="25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s="6" customFormat="1" ht="17.100000000000001" customHeight="1" x14ac:dyDescent="0.6">
      <c r="A39" s="337" t="s">
        <v>32</v>
      </c>
      <c r="B39" s="333" t="s">
        <v>33</v>
      </c>
      <c r="C39" s="334"/>
      <c r="D39" s="43" t="str">
        <f t="shared" si="3"/>
        <v>50만원</v>
      </c>
      <c r="E39" s="248">
        <v>50</v>
      </c>
      <c r="F39" s="248"/>
      <c r="G39" s="248"/>
      <c r="H39" s="248"/>
      <c r="I39" s="248"/>
      <c r="J39" s="24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s="6" customFormat="1" ht="17.100000000000001" customHeight="1" x14ac:dyDescent="0.6">
      <c r="A40" s="337"/>
      <c r="B40" s="335" t="s">
        <v>34</v>
      </c>
      <c r="C40" s="336"/>
      <c r="D40" s="44" t="s">
        <v>421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s="6" customFormat="1" ht="17.100000000000001" customHeight="1" x14ac:dyDescent="0.6">
      <c r="A41" s="337"/>
      <c r="B41" s="335" t="s">
        <v>70</v>
      </c>
      <c r="C41" s="336"/>
      <c r="D41" s="44" t="s">
        <v>421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s="6" customFormat="1" ht="17.100000000000001" customHeight="1" x14ac:dyDescent="0.6">
      <c r="A42" s="337"/>
      <c r="B42" s="335" t="s">
        <v>35</v>
      </c>
      <c r="C42" s="336"/>
      <c r="D42" s="47" t="str">
        <f t="shared" si="3"/>
        <v/>
      </c>
      <c r="E42" s="249"/>
      <c r="F42" s="249"/>
      <c r="G42" s="249"/>
      <c r="H42" s="249"/>
      <c r="I42" s="249"/>
      <c r="J42" s="24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s="6" customFormat="1" ht="17.100000000000001" customHeight="1" x14ac:dyDescent="0.6">
      <c r="A43" s="337"/>
      <c r="B43" s="347" t="s">
        <v>36</v>
      </c>
      <c r="C43" s="348"/>
      <c r="D43" s="45" t="s">
        <v>421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s="6" customFormat="1" ht="17.100000000000001" customHeight="1" x14ac:dyDescent="0.6">
      <c r="A44" s="338" t="s">
        <v>37</v>
      </c>
      <c r="B44" s="333" t="s">
        <v>38</v>
      </c>
      <c r="C44" s="334"/>
      <c r="D44" s="46" t="str">
        <f t="shared" si="3"/>
        <v>1만원</v>
      </c>
      <c r="E44" s="251">
        <v>1</v>
      </c>
      <c r="F44" s="251"/>
      <c r="G44" s="251"/>
      <c r="H44" s="251"/>
      <c r="I44" s="251"/>
      <c r="J44" s="251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s="6" customFormat="1" ht="17.100000000000001" customHeight="1" x14ac:dyDescent="0.6">
      <c r="A45" s="337"/>
      <c r="B45" s="335" t="s">
        <v>39</v>
      </c>
      <c r="C45" s="336"/>
      <c r="D45" s="44" t="str">
        <f t="shared" si="3"/>
        <v>1만원</v>
      </c>
      <c r="E45" s="249">
        <v>1</v>
      </c>
      <c r="F45" s="249"/>
      <c r="G45" s="249"/>
      <c r="H45" s="249"/>
      <c r="I45" s="249"/>
      <c r="J45" s="249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s="6" customFormat="1" ht="17.100000000000001" customHeight="1" x14ac:dyDescent="0.6">
      <c r="A46" s="337"/>
      <c r="B46" s="335" t="s">
        <v>40</v>
      </c>
      <c r="C46" s="336"/>
      <c r="D46" s="44" t="str">
        <f t="shared" si="3"/>
        <v/>
      </c>
      <c r="E46" s="249"/>
      <c r="F46" s="249"/>
      <c r="G46" s="249"/>
      <c r="H46" s="249"/>
      <c r="I46" s="249"/>
      <c r="J46" s="249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s="6" customFormat="1" ht="17.100000000000001" customHeight="1" x14ac:dyDescent="0.6">
      <c r="A47" s="355"/>
      <c r="B47" s="347" t="s">
        <v>41</v>
      </c>
      <c r="C47" s="348"/>
      <c r="D47" s="47" t="str">
        <f t="shared" si="3"/>
        <v/>
      </c>
      <c r="E47" s="252"/>
      <c r="F47" s="252"/>
      <c r="G47" s="252"/>
      <c r="H47" s="252"/>
      <c r="I47" s="252"/>
      <c r="J47" s="252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s="6" customFormat="1" ht="17.100000000000001" customHeight="1" x14ac:dyDescent="0.6">
      <c r="A48" s="337" t="s">
        <v>42</v>
      </c>
      <c r="B48" s="333" t="s">
        <v>43</v>
      </c>
      <c r="C48" s="334"/>
      <c r="D48" s="43" t="str">
        <f t="shared" si="3"/>
        <v/>
      </c>
      <c r="E48" s="248"/>
      <c r="F48" s="248"/>
      <c r="G48" s="248"/>
      <c r="H48" s="248"/>
      <c r="I48" s="248"/>
      <c r="J48" s="24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6" customFormat="1" ht="17.100000000000001" customHeight="1" x14ac:dyDescent="0.6">
      <c r="A49" s="337"/>
      <c r="B49" s="347" t="s">
        <v>44</v>
      </c>
      <c r="C49" s="348"/>
      <c r="D49" s="45" t="str">
        <f t="shared" si="3"/>
        <v/>
      </c>
      <c r="E49" s="250"/>
      <c r="F49" s="250"/>
      <c r="G49" s="250"/>
      <c r="H49" s="250"/>
      <c r="I49" s="250"/>
      <c r="J49" s="250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s="6" customFormat="1" ht="17.100000000000001" customHeight="1" x14ac:dyDescent="0.6">
      <c r="A50" s="354" t="s">
        <v>45</v>
      </c>
      <c r="B50" s="333" t="s">
        <v>46</v>
      </c>
      <c r="C50" s="334"/>
      <c r="D50" s="46" t="str">
        <f t="shared" si="3"/>
        <v>50만원</v>
      </c>
      <c r="E50" s="251">
        <v>50</v>
      </c>
      <c r="F50" s="251"/>
      <c r="G50" s="251"/>
      <c r="H50" s="251"/>
      <c r="I50" s="251"/>
      <c r="J50" s="251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s="6" customFormat="1" ht="17.100000000000001" customHeight="1" x14ac:dyDescent="0.6">
      <c r="A51" s="337"/>
      <c r="B51" s="335" t="s">
        <v>47</v>
      </c>
      <c r="C51" s="336"/>
      <c r="D51" s="44" t="str">
        <f t="shared" si="3"/>
        <v>50만원</v>
      </c>
      <c r="E51" s="249">
        <v>50</v>
      </c>
      <c r="F51" s="249"/>
      <c r="G51" s="249"/>
      <c r="H51" s="249"/>
      <c r="I51" s="249"/>
      <c r="J51" s="249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s="6" customFormat="1" ht="17.100000000000001" customHeight="1" x14ac:dyDescent="0.6">
      <c r="A52" s="337"/>
      <c r="B52" s="335" t="s">
        <v>48</v>
      </c>
      <c r="C52" s="336"/>
      <c r="D52" s="44" t="str">
        <f t="shared" si="3"/>
        <v>100만원</v>
      </c>
      <c r="E52" s="249">
        <v>100</v>
      </c>
      <c r="F52" s="249"/>
      <c r="G52" s="249"/>
      <c r="H52" s="249"/>
      <c r="I52" s="249"/>
      <c r="J52" s="249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s="6" customFormat="1" ht="17.100000000000001" customHeight="1" x14ac:dyDescent="0.6">
      <c r="A53" s="355"/>
      <c r="B53" s="347" t="s">
        <v>49</v>
      </c>
      <c r="C53" s="348"/>
      <c r="D53" s="47" t="str">
        <f t="shared" si="3"/>
        <v>30만원</v>
      </c>
      <c r="E53" s="252">
        <v>30</v>
      </c>
      <c r="F53" s="252"/>
      <c r="G53" s="252"/>
      <c r="H53" s="252"/>
      <c r="I53" s="252"/>
      <c r="J53" s="252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s="6" customFormat="1" ht="17.100000000000001" customHeight="1" x14ac:dyDescent="0.6">
      <c r="A54" s="339" t="s">
        <v>50</v>
      </c>
      <c r="B54" s="333" t="s">
        <v>51</v>
      </c>
      <c r="C54" s="334"/>
      <c r="D54" s="43" t="str">
        <f t="shared" si="3"/>
        <v/>
      </c>
      <c r="E54" s="248"/>
      <c r="F54" s="248"/>
      <c r="G54" s="248"/>
      <c r="H54" s="248"/>
      <c r="I54" s="248"/>
      <c r="J54" s="24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s="6" customFormat="1" ht="17.100000000000001" customHeight="1" x14ac:dyDescent="0.6">
      <c r="A55" s="339"/>
      <c r="B55" s="335" t="s">
        <v>52</v>
      </c>
      <c r="C55" s="336"/>
      <c r="D55" s="44" t="str">
        <f t="shared" si="3"/>
        <v/>
      </c>
      <c r="E55" s="249"/>
      <c r="F55" s="249"/>
      <c r="G55" s="249"/>
      <c r="H55" s="249"/>
      <c r="I55" s="249"/>
      <c r="J55" s="249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s="36" customFormat="1" ht="17.100000000000001" customHeight="1" x14ac:dyDescent="0.6">
      <c r="A56" s="339"/>
      <c r="B56" s="335" t="s">
        <v>53</v>
      </c>
      <c r="C56" s="336"/>
      <c r="D56" s="44" t="str">
        <f t="shared" si="3"/>
        <v/>
      </c>
      <c r="E56" s="253"/>
      <c r="F56" s="253"/>
      <c r="G56" s="253"/>
      <c r="H56" s="253"/>
      <c r="I56" s="253"/>
      <c r="J56" s="253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 s="6" customFormat="1" ht="17.100000000000001" customHeight="1" x14ac:dyDescent="0.6">
      <c r="A57" s="339"/>
      <c r="B57" s="335" t="s">
        <v>54</v>
      </c>
      <c r="C57" s="336"/>
      <c r="D57" s="44" t="str">
        <f t="shared" si="3"/>
        <v/>
      </c>
      <c r="E57" s="254"/>
      <c r="F57" s="254"/>
      <c r="G57" s="254"/>
      <c r="H57" s="254"/>
      <c r="I57" s="254"/>
      <c r="J57" s="254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s="6" customFormat="1" ht="17.100000000000001" customHeight="1" x14ac:dyDescent="0.6">
      <c r="A58" s="339"/>
      <c r="B58" s="347" t="s">
        <v>64</v>
      </c>
      <c r="C58" s="348"/>
      <c r="D58" s="45" t="str">
        <f t="shared" si="3"/>
        <v/>
      </c>
      <c r="E58" s="255"/>
      <c r="F58" s="255"/>
      <c r="G58" s="255"/>
      <c r="H58" s="255"/>
      <c r="I58" s="255"/>
      <c r="J58" s="25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s="5" customFormat="1" ht="17.100000000000001" customHeight="1" x14ac:dyDescent="0.6">
      <c r="A59" s="41" t="s">
        <v>55</v>
      </c>
      <c r="B59" s="352" t="s">
        <v>56</v>
      </c>
      <c r="C59" s="353"/>
      <c r="D59" s="277" t="str">
        <f>IF(SUM(E59:CA59)=0,"",SUM(E59:CA59)&amp;"억")</f>
        <v/>
      </c>
      <c r="E59" s="20"/>
      <c r="F59" s="20"/>
      <c r="G59" s="20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s="6" customFormat="1" ht="17.100000000000001" customHeight="1" x14ac:dyDescent="0.6">
      <c r="A60" s="339" t="s">
        <v>57</v>
      </c>
      <c r="B60" s="333" t="s">
        <v>58</v>
      </c>
      <c r="C60" s="334"/>
      <c r="D60" s="43" t="str">
        <f t="shared" si="3"/>
        <v/>
      </c>
      <c r="E60" s="256"/>
      <c r="F60" s="256"/>
      <c r="G60" s="256"/>
      <c r="H60" s="256"/>
      <c r="I60" s="256"/>
      <c r="J60" s="25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s="6" customFormat="1" ht="17.100000000000001" customHeight="1" x14ac:dyDescent="0.6">
      <c r="A61" s="337"/>
      <c r="B61" s="335" t="s">
        <v>59</v>
      </c>
      <c r="C61" s="336"/>
      <c r="D61" s="44" t="str">
        <f t="shared" si="3"/>
        <v/>
      </c>
      <c r="E61" s="254"/>
      <c r="F61" s="254"/>
      <c r="G61" s="254"/>
      <c r="H61" s="254"/>
      <c r="I61" s="254"/>
      <c r="J61" s="254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s="6" customFormat="1" ht="17.100000000000001" customHeight="1" x14ac:dyDescent="0.6">
      <c r="A62" s="337"/>
      <c r="B62" s="335" t="s">
        <v>61</v>
      </c>
      <c r="C62" s="336"/>
      <c r="D62" s="44" t="str">
        <f t="shared" si="3"/>
        <v/>
      </c>
      <c r="E62" s="254"/>
      <c r="F62" s="254"/>
      <c r="G62" s="254"/>
      <c r="H62" s="254"/>
      <c r="I62" s="254"/>
      <c r="J62" s="254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s="6" customFormat="1" ht="17.100000000000001" customHeight="1" x14ac:dyDescent="0.6">
      <c r="A63" s="351"/>
      <c r="B63" s="357" t="s">
        <v>60</v>
      </c>
      <c r="C63" s="358"/>
      <c r="D63" s="48" t="str">
        <f t="shared" si="3"/>
        <v/>
      </c>
      <c r="E63" s="257"/>
      <c r="F63" s="257"/>
      <c r="G63" s="257"/>
      <c r="H63" s="257"/>
      <c r="I63" s="257"/>
      <c r="J63" s="257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x14ac:dyDescent="0.6">
      <c r="B64" s="359"/>
      <c r="C64" s="359"/>
      <c r="D64" s="2" t="str">
        <f t="shared" ref="D64:D65" si="4">IF(SUM(E64:CA64)=0,"",
IF(SUM(E64:CA64)&gt;=10000,
INT(SUM(E64:CA64)/10000)&amp;"억"&amp;IF(MOD(SUM(E64:CA64),10000)=0,"",MOD(SUM(E64:CA64),10000)&amp;"만원"),
SUM(E64:CA64)&amp;"만원"))</f>
        <v/>
      </c>
    </row>
    <row r="65" spans="2:4" x14ac:dyDescent="0.6">
      <c r="B65" s="356"/>
      <c r="C65" s="356"/>
      <c r="D65" s="2" t="str">
        <f t="shared" si="4"/>
        <v/>
      </c>
    </row>
    <row r="66" spans="2:4" x14ac:dyDescent="0.6">
      <c r="B66" s="356"/>
      <c r="C66" s="356"/>
    </row>
    <row r="67" spans="2:4" x14ac:dyDescent="0.6">
      <c r="B67" s="356"/>
      <c r="C67" s="356"/>
    </row>
    <row r="68" spans="2:4" x14ac:dyDescent="0.6">
      <c r="B68" s="356"/>
      <c r="C68" s="356"/>
    </row>
    <row r="69" spans="2:4" x14ac:dyDescent="0.6">
      <c r="B69" s="356"/>
      <c r="C69" s="356"/>
    </row>
    <row r="70" spans="2:4" x14ac:dyDescent="0.6">
      <c r="B70" s="356"/>
      <c r="C70" s="356"/>
    </row>
    <row r="71" spans="2:4" x14ac:dyDescent="0.6">
      <c r="B71" s="356"/>
      <c r="C71" s="356"/>
    </row>
    <row r="72" spans="2:4" x14ac:dyDescent="0.6">
      <c r="B72" s="356"/>
      <c r="C72" s="356"/>
    </row>
    <row r="73" spans="2:4" x14ac:dyDescent="0.6">
      <c r="B73" s="356"/>
      <c r="C73" s="356"/>
    </row>
    <row r="74" spans="2:4" x14ac:dyDescent="0.6">
      <c r="B74" s="356"/>
      <c r="C74" s="356"/>
    </row>
    <row r="75" spans="2:4" x14ac:dyDescent="0.6">
      <c r="B75" s="356"/>
      <c r="C75" s="356"/>
    </row>
    <row r="76" spans="2:4" x14ac:dyDescent="0.6">
      <c r="B76" s="356"/>
      <c r="C76" s="356"/>
    </row>
    <row r="77" spans="2:4" x14ac:dyDescent="0.6">
      <c r="B77" s="356"/>
      <c r="C77" s="356"/>
    </row>
    <row r="78" spans="2:4" x14ac:dyDescent="0.6">
      <c r="B78" s="356"/>
      <c r="C78" s="356"/>
    </row>
    <row r="79" spans="2:4" x14ac:dyDescent="0.6">
      <c r="B79" s="356"/>
      <c r="C79" s="356"/>
    </row>
    <row r="80" spans="2:4" x14ac:dyDescent="0.6">
      <c r="B80" s="356"/>
      <c r="C80" s="356"/>
    </row>
    <row r="81" spans="2:3" x14ac:dyDescent="0.6">
      <c r="B81" s="356"/>
      <c r="C81" s="356"/>
    </row>
    <row r="82" spans="2:3" x14ac:dyDescent="0.6">
      <c r="B82" s="356"/>
      <c r="C82" s="356"/>
    </row>
    <row r="83" spans="2:3" x14ac:dyDescent="0.6">
      <c r="B83" s="356"/>
      <c r="C83" s="356"/>
    </row>
    <row r="84" spans="2:3" x14ac:dyDescent="0.6">
      <c r="B84" s="356"/>
      <c r="C84" s="356"/>
    </row>
    <row r="85" spans="2:3" x14ac:dyDescent="0.6">
      <c r="B85" s="356"/>
      <c r="C85" s="356"/>
    </row>
    <row r="86" spans="2:3" x14ac:dyDescent="0.6">
      <c r="B86" s="356"/>
      <c r="C86" s="356"/>
    </row>
    <row r="87" spans="2:3" x14ac:dyDescent="0.6">
      <c r="B87" s="356"/>
      <c r="C87" s="356"/>
    </row>
    <row r="88" spans="2:3" x14ac:dyDescent="0.6">
      <c r="B88" s="356"/>
      <c r="C88" s="356"/>
    </row>
    <row r="89" spans="2:3" x14ac:dyDescent="0.6">
      <c r="B89" s="356"/>
      <c r="C89" s="356"/>
    </row>
    <row r="90" spans="2:3" x14ac:dyDescent="0.6">
      <c r="B90" s="356"/>
      <c r="C90" s="356"/>
    </row>
    <row r="91" spans="2:3" x14ac:dyDescent="0.6">
      <c r="B91" s="356"/>
      <c r="C91" s="356"/>
    </row>
    <row r="92" spans="2:3" x14ac:dyDescent="0.6">
      <c r="B92" s="356"/>
      <c r="C92" s="356"/>
    </row>
    <row r="93" spans="2:3" x14ac:dyDescent="0.6">
      <c r="B93" s="356"/>
      <c r="C93" s="356"/>
    </row>
    <row r="94" spans="2:3" x14ac:dyDescent="0.6">
      <c r="B94" s="356"/>
      <c r="C94" s="356"/>
    </row>
    <row r="95" spans="2:3" x14ac:dyDescent="0.6">
      <c r="B95" s="356"/>
      <c r="C95" s="356"/>
    </row>
    <row r="96" spans="2:3" x14ac:dyDescent="0.6">
      <c r="B96" s="356"/>
      <c r="C96" s="356"/>
    </row>
    <row r="97" spans="2:3" x14ac:dyDescent="0.6">
      <c r="B97" s="356"/>
      <c r="C97" s="356"/>
    </row>
    <row r="98" spans="2:3" x14ac:dyDescent="0.6">
      <c r="B98" s="356"/>
      <c r="C98" s="356"/>
    </row>
    <row r="99" spans="2:3" x14ac:dyDescent="0.6">
      <c r="B99" s="356"/>
      <c r="C99" s="356"/>
    </row>
    <row r="100" spans="2:3" x14ac:dyDescent="0.6">
      <c r="B100" s="356"/>
      <c r="C100" s="356"/>
    </row>
    <row r="101" spans="2:3" x14ac:dyDescent="0.6">
      <c r="B101" s="356"/>
      <c r="C101" s="356"/>
    </row>
    <row r="102" spans="2:3" x14ac:dyDescent="0.6">
      <c r="B102" s="356"/>
      <c r="C102" s="356"/>
    </row>
    <row r="103" spans="2:3" x14ac:dyDescent="0.6">
      <c r="B103" s="356"/>
      <c r="C103" s="356"/>
    </row>
    <row r="104" spans="2:3" x14ac:dyDescent="0.6">
      <c r="B104" s="356"/>
      <c r="C104" s="356"/>
    </row>
    <row r="105" spans="2:3" x14ac:dyDescent="0.6">
      <c r="B105" s="356"/>
      <c r="C105" s="356"/>
    </row>
  </sheetData>
  <mergeCells count="114">
    <mergeCell ref="B104:C104"/>
    <mergeCell ref="B105:C105"/>
    <mergeCell ref="A1:C2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8:C38"/>
    <mergeCell ref="B22:C22"/>
    <mergeCell ref="B23:C23"/>
    <mergeCell ref="B24:C24"/>
    <mergeCell ref="B25:C25"/>
    <mergeCell ref="B26:C26"/>
    <mergeCell ref="B27:C27"/>
    <mergeCell ref="B32:C32"/>
    <mergeCell ref="B33:C33"/>
    <mergeCell ref="A3:B4"/>
    <mergeCell ref="B53:C53"/>
    <mergeCell ref="A60:A63"/>
    <mergeCell ref="B54:C54"/>
    <mergeCell ref="B55:C55"/>
    <mergeCell ref="B56:C56"/>
    <mergeCell ref="B57:C57"/>
    <mergeCell ref="B58:C58"/>
    <mergeCell ref="B59:C59"/>
    <mergeCell ref="B60:C60"/>
    <mergeCell ref="B61:C61"/>
    <mergeCell ref="A54:A58"/>
    <mergeCell ref="A48:A49"/>
    <mergeCell ref="A50:A53"/>
    <mergeCell ref="A39:A43"/>
    <mergeCell ref="A44:A47"/>
    <mergeCell ref="B29:C29"/>
    <mergeCell ref="A33:A38"/>
    <mergeCell ref="B30:C30"/>
    <mergeCell ref="B31:C31"/>
    <mergeCell ref="B16:C16"/>
    <mergeCell ref="B17:C17"/>
    <mergeCell ref="B18:C18"/>
    <mergeCell ref="B19:C19"/>
    <mergeCell ref="B39:C39"/>
    <mergeCell ref="B40:C40"/>
    <mergeCell ref="A21:A26"/>
    <mergeCell ref="A27:A32"/>
    <mergeCell ref="A12:A15"/>
    <mergeCell ref="A16:A20"/>
    <mergeCell ref="A9:A11"/>
    <mergeCell ref="A5:B6"/>
    <mergeCell ref="A7:B7"/>
    <mergeCell ref="A8:B8"/>
    <mergeCell ref="B9:C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34:C34"/>
    <mergeCell ref="B35:C35"/>
    <mergeCell ref="B36:C36"/>
    <mergeCell ref="B37:C37"/>
  </mergeCells>
  <phoneticPr fontId="3" type="noConversion"/>
  <printOptions horizontalCentered="1" verticalCentered="1"/>
  <pageMargins left="0" right="0" top="0" bottom="0" header="0" footer="0"/>
  <pageSetup paperSize="9" scale="75" orientation="portrait" r:id="rId1"/>
  <colBreaks count="2" manualBreakCount="2">
    <brk id="7" max="62" man="1"/>
    <brk id="10" max="62" man="1"/>
  </colBreaks>
  <ignoredErrors>
    <ignoredError sqref="D59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50E6-1B24-4BDB-8F67-A8F12EBF4BE8}">
  <sheetPr>
    <tabColor theme="9" tint="0.59999389629810485"/>
  </sheetPr>
  <dimension ref="A1:Y105"/>
  <sheetViews>
    <sheetView showGridLines="0" view="pageBreakPreview" zoomScale="85" zoomScaleNormal="100" zoomScaleSheetLayoutView="85" workbookViewId="0">
      <selection activeCell="F6" sqref="F6"/>
    </sheetView>
  </sheetViews>
  <sheetFormatPr defaultRowHeight="15.75" x14ac:dyDescent="0.6"/>
  <cols>
    <col min="1" max="1" width="6.5625" style="2" customWidth="1"/>
    <col min="2" max="2" width="22.0625" style="2" customWidth="1"/>
    <col min="3" max="3" width="0.8125" style="2" customWidth="1"/>
    <col min="4" max="49" width="23.5625" style="2" customWidth="1"/>
    <col min="50" max="16384" width="9" style="2"/>
  </cols>
  <sheetData>
    <row r="1" spans="1:25" ht="17.100000000000001" customHeight="1" x14ac:dyDescent="0.6">
      <c r="A1" s="356"/>
      <c r="B1" s="356"/>
      <c r="C1" s="360"/>
      <c r="D1" s="21" t="s">
        <v>162</v>
      </c>
      <c r="E1" s="22" t="s">
        <v>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57" customHeight="1" x14ac:dyDescent="0.6">
      <c r="A2" s="356"/>
      <c r="B2" s="356"/>
      <c r="C2" s="360"/>
      <c r="D2" s="37" t="s">
        <v>1</v>
      </c>
      <c r="E2" s="38" t="s">
        <v>417</v>
      </c>
      <c r="F2" s="38"/>
      <c r="G2" s="38"/>
      <c r="H2" s="38"/>
      <c r="I2" s="38"/>
      <c r="J2" s="3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7.100000000000001" customHeight="1" x14ac:dyDescent="0.6">
      <c r="A3" s="349" t="s">
        <v>76</v>
      </c>
      <c r="B3" s="349"/>
      <c r="C3" s="29"/>
      <c r="D3" s="26" t="s">
        <v>2</v>
      </c>
      <c r="E3" s="17">
        <v>20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s="3" customFormat="1" ht="17.100000000000001" customHeight="1" thickBot="1" x14ac:dyDescent="0.65">
      <c r="A4" s="350"/>
      <c r="B4" s="350"/>
      <c r="C4" s="29"/>
      <c r="D4" s="27" t="s">
        <v>10</v>
      </c>
      <c r="E4" s="225">
        <v>46023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3" customFormat="1" ht="17.100000000000001" customHeight="1" thickTop="1" x14ac:dyDescent="0.6">
      <c r="A5" s="342">
        <f>SUM(E8:CA8)</f>
        <v>100000</v>
      </c>
      <c r="B5" s="342"/>
      <c r="C5" s="30"/>
      <c r="D5" s="27" t="s">
        <v>11</v>
      </c>
      <c r="E5" s="7">
        <v>71590</v>
      </c>
      <c r="F5" s="7" t="s">
        <v>410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64" customFormat="1" ht="17.100000000000001" customHeight="1" x14ac:dyDescent="0.6">
      <c r="A6" s="342"/>
      <c r="B6" s="342"/>
      <c r="C6" s="63"/>
      <c r="D6" s="33" t="s">
        <v>8</v>
      </c>
      <c r="E6" s="34">
        <f t="shared" ref="E6:Y6" ca="1" si="0">IF(E4="","",MAX(E3*12-MIN(DATEDIF(E4,TODAY(),"m"),E3*12),0)*E8)</f>
        <v>23700000</v>
      </c>
      <c r="F6" s="34" t="str">
        <f t="shared" ca="1" si="0"/>
        <v/>
      </c>
      <c r="G6" s="34" t="str">
        <f t="shared" ca="1" si="0"/>
        <v/>
      </c>
      <c r="H6" s="34" t="str">
        <f t="shared" ca="1" si="0"/>
        <v/>
      </c>
      <c r="I6" s="34" t="str">
        <f t="shared" ca="1" si="0"/>
        <v/>
      </c>
      <c r="J6" s="34" t="str">
        <f t="shared" ca="1" si="0"/>
        <v/>
      </c>
      <c r="K6" s="34" t="str">
        <f t="shared" ca="1" si="0"/>
        <v/>
      </c>
      <c r="L6" s="34" t="str">
        <f t="shared" ca="1" si="0"/>
        <v/>
      </c>
      <c r="M6" s="34" t="str">
        <f t="shared" ca="1" si="0"/>
        <v/>
      </c>
      <c r="N6" s="34" t="str">
        <f t="shared" ca="1" si="0"/>
        <v/>
      </c>
      <c r="O6" s="34" t="str">
        <f t="shared" ca="1" si="0"/>
        <v/>
      </c>
      <c r="P6" s="34" t="str">
        <f t="shared" ca="1" si="0"/>
        <v/>
      </c>
      <c r="Q6" s="34" t="str">
        <f t="shared" ca="1" si="0"/>
        <v/>
      </c>
      <c r="R6" s="34" t="str">
        <f t="shared" ca="1" si="0"/>
        <v/>
      </c>
      <c r="S6" s="34" t="str">
        <f t="shared" ca="1" si="0"/>
        <v/>
      </c>
      <c r="T6" s="34" t="str">
        <f t="shared" ca="1" si="0"/>
        <v/>
      </c>
      <c r="U6" s="34" t="str">
        <f t="shared" ca="1" si="0"/>
        <v/>
      </c>
      <c r="V6" s="34" t="str">
        <f t="shared" ca="1" si="0"/>
        <v/>
      </c>
      <c r="W6" s="34" t="str">
        <f t="shared" ca="1" si="0"/>
        <v/>
      </c>
      <c r="X6" s="34" t="str">
        <f t="shared" ca="1" si="0"/>
        <v/>
      </c>
      <c r="Y6" s="34" t="str">
        <f t="shared" ca="1" si="0"/>
        <v/>
      </c>
    </row>
    <row r="7" spans="1:25" s="4" customFormat="1" ht="17.100000000000001" hidden="1" customHeight="1" x14ac:dyDescent="0.6">
      <c r="A7" s="343"/>
      <c r="B7" s="343"/>
      <c r="C7" s="30"/>
      <c r="D7" s="32" t="s">
        <v>7</v>
      </c>
      <c r="E7" s="31">
        <f ca="1">IF(E4="","",IF(TODAY()&lt;E4,0,MIN(DATEDIF(E4,TODAY(),"m"),E3*12)*E8))</f>
        <v>300000</v>
      </c>
      <c r="F7" s="8" t="str">
        <f ca="1">IF(F4="","",IF(TODAY()&lt;F4,0,MIN(DATEDIF(F4,TODAY(),"m"),F3*12)*F8))</f>
        <v/>
      </c>
      <c r="G7" s="8" t="str">
        <f ca="1">IF(G4="","",IF(TODAY()&lt;G4,0,MIN(DATEDIF(G4,TODAY(),"m"),G3*12)*G8))</f>
        <v/>
      </c>
      <c r="H7" s="8" t="str">
        <f ca="1">IF(H4="","",IF(TODAY()&lt;H4,0,MIN(DATEDIF(H4,TODAY(),"m"),H3*12)*H8))</f>
        <v/>
      </c>
      <c r="I7" s="8" t="str">
        <f ca="1">IF(I4="","",IF(TODAY()&lt;I4,0,MIN(DATEDIF(I4,TODAY(),"m"),I3*12)*I8))</f>
        <v/>
      </c>
      <c r="J7" s="8"/>
      <c r="K7" s="8" t="str">
        <f t="shared" ref="K7:Y7" ca="1" si="1">IF(K4="","",IF(TODAY()&lt;K4,0,MIN(DATEDIF(K4,TODAY(),"m"),K3*12)*K8))</f>
        <v/>
      </c>
      <c r="L7" s="8" t="str">
        <f t="shared" ca="1" si="1"/>
        <v/>
      </c>
      <c r="M7" s="8" t="str">
        <f t="shared" ca="1" si="1"/>
        <v/>
      </c>
      <c r="N7" s="8" t="str">
        <f t="shared" ca="1" si="1"/>
        <v/>
      </c>
      <c r="O7" s="8" t="str">
        <f t="shared" ca="1" si="1"/>
        <v/>
      </c>
      <c r="P7" s="8" t="str">
        <f t="shared" ca="1" si="1"/>
        <v/>
      </c>
      <c r="Q7" s="8" t="str">
        <f t="shared" ca="1" si="1"/>
        <v/>
      </c>
      <c r="R7" s="8" t="str">
        <f t="shared" ca="1" si="1"/>
        <v/>
      </c>
      <c r="S7" s="8" t="str">
        <f t="shared" ca="1" si="1"/>
        <v/>
      </c>
      <c r="T7" s="8" t="str">
        <f t="shared" ca="1" si="1"/>
        <v/>
      </c>
      <c r="U7" s="8" t="str">
        <f t="shared" ca="1" si="1"/>
        <v/>
      </c>
      <c r="V7" s="8" t="str">
        <f t="shared" ca="1" si="1"/>
        <v/>
      </c>
      <c r="W7" s="8" t="str">
        <f t="shared" ca="1" si="1"/>
        <v/>
      </c>
      <c r="X7" s="8" t="str">
        <f t="shared" ca="1" si="1"/>
        <v/>
      </c>
      <c r="Y7" s="8" t="str">
        <f t="shared" ca="1" si="1"/>
        <v/>
      </c>
    </row>
    <row r="8" spans="1:25" s="19" customFormat="1" ht="17.100000000000001" customHeight="1" x14ac:dyDescent="0.6">
      <c r="A8" s="559" t="s">
        <v>427</v>
      </c>
      <c r="B8" s="559"/>
      <c r="C8" s="28"/>
      <c r="D8" s="39" t="s">
        <v>77</v>
      </c>
      <c r="E8" s="40">
        <v>100000</v>
      </c>
      <c r="F8" s="40"/>
      <c r="G8" s="40"/>
      <c r="H8" s="40"/>
      <c r="I8" s="40"/>
      <c r="J8" s="40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s="6" customFormat="1" ht="17.100000000000001" customHeight="1" x14ac:dyDescent="0.6">
      <c r="A9" s="340" t="s">
        <v>3</v>
      </c>
      <c r="B9" s="345" t="s">
        <v>4</v>
      </c>
      <c r="C9" s="346"/>
      <c r="D9" s="42" t="str">
        <f>IF(SUM(E9:CA9)=0,"",
IF(SUM(E9:CA9)&gt;=10000,
INT(SUM(E9:CA9)/10000)&amp;"억"&amp;IF(MOD(SUM(E9:CA9),10000)=0,"",TEXT(MOD(SUM(E9:CA9),10000),"#,##0")&amp;"만원"),
TEXT(SUM(E9:CA9),"#,##0")&amp;"만원"))</f>
        <v/>
      </c>
      <c r="E9" s="245"/>
      <c r="F9" s="245"/>
      <c r="G9" s="245"/>
      <c r="H9" s="245"/>
      <c r="I9" s="245"/>
      <c r="J9" s="245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6" customFormat="1" ht="17.100000000000001" customHeight="1" x14ac:dyDescent="0.6">
      <c r="A10" s="341"/>
      <c r="B10" s="335" t="s">
        <v>5</v>
      </c>
      <c r="C10" s="336"/>
      <c r="D10" s="42" t="str">
        <f t="shared" ref="D10:D63" si="2">IF(SUM(E10:CA10)=0,"",
IF(SUM(E10:CA10)&gt;=10000,
INT(SUM(E10:CA10)/10000)&amp;"억"&amp;IF(MOD(SUM(E10:CA10),10000)=0,"",TEXT(MOD(SUM(E10:CA10),10000),"#,##0")&amp;"만원"),
TEXT(SUM(E10:CA10),"#,##0")&amp;"만원"))</f>
        <v/>
      </c>
      <c r="E10" s="246"/>
      <c r="F10" s="246"/>
      <c r="G10" s="246"/>
      <c r="H10" s="246"/>
      <c r="I10" s="246"/>
      <c r="J10" s="246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6" customFormat="1" ht="17.100000000000001" customHeight="1" x14ac:dyDescent="0.6">
      <c r="A11" s="341"/>
      <c r="B11" s="347" t="s">
        <v>6</v>
      </c>
      <c r="C11" s="348"/>
      <c r="D11" s="42" t="str">
        <f t="shared" si="2"/>
        <v/>
      </c>
      <c r="E11" s="247"/>
      <c r="F11" s="247"/>
      <c r="G11" s="247"/>
      <c r="H11" s="247"/>
      <c r="I11" s="247"/>
      <c r="J11" s="24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s="6" customFormat="1" ht="17.100000000000001" customHeight="1" x14ac:dyDescent="0.6">
      <c r="A12" s="337" t="s">
        <v>12</v>
      </c>
      <c r="B12" s="333" t="s">
        <v>13</v>
      </c>
      <c r="C12" s="334"/>
      <c r="D12" s="43" t="str">
        <f t="shared" si="2"/>
        <v/>
      </c>
      <c r="E12" s="248"/>
      <c r="F12" s="248"/>
      <c r="G12" s="248"/>
      <c r="H12" s="248"/>
      <c r="I12" s="248"/>
      <c r="J12" s="24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s="6" customFormat="1" ht="17.100000000000001" customHeight="1" x14ac:dyDescent="0.6">
      <c r="A13" s="337"/>
      <c r="B13" s="335" t="s">
        <v>14</v>
      </c>
      <c r="C13" s="336"/>
      <c r="D13" s="44" t="str">
        <f t="shared" si="2"/>
        <v/>
      </c>
      <c r="E13" s="249"/>
      <c r="F13" s="249"/>
      <c r="G13" s="249"/>
      <c r="H13" s="249"/>
      <c r="I13" s="249"/>
      <c r="J13" s="249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s="6" customFormat="1" ht="17.100000000000001" customHeight="1" x14ac:dyDescent="0.6">
      <c r="A14" s="337"/>
      <c r="B14" s="335" t="s">
        <v>15</v>
      </c>
      <c r="C14" s="336"/>
      <c r="D14" s="44" t="str">
        <f t="shared" si="2"/>
        <v/>
      </c>
      <c r="E14" s="249"/>
      <c r="F14" s="249"/>
      <c r="G14" s="249"/>
      <c r="H14" s="249"/>
      <c r="I14" s="249"/>
      <c r="J14" s="249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s="6" customFormat="1" ht="17.100000000000001" customHeight="1" x14ac:dyDescent="0.6">
      <c r="A15" s="337"/>
      <c r="B15" s="347" t="s">
        <v>16</v>
      </c>
      <c r="C15" s="348"/>
      <c r="D15" s="45" t="str">
        <f t="shared" si="2"/>
        <v/>
      </c>
      <c r="E15" s="250"/>
      <c r="F15" s="250"/>
      <c r="G15" s="250"/>
      <c r="H15" s="250"/>
      <c r="I15" s="250"/>
      <c r="J15" s="25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s="6" customFormat="1" ht="17.100000000000001" customHeight="1" x14ac:dyDescent="0.6">
      <c r="A16" s="339" t="s">
        <v>17</v>
      </c>
      <c r="B16" s="333" t="s">
        <v>18</v>
      </c>
      <c r="C16" s="334"/>
      <c r="D16" s="43" t="str">
        <f t="shared" si="2"/>
        <v/>
      </c>
      <c r="E16" s="248"/>
      <c r="F16" s="248"/>
      <c r="G16" s="248"/>
      <c r="H16" s="248"/>
      <c r="I16" s="248"/>
      <c r="J16" s="24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s="6" customFormat="1" ht="17.100000000000001" customHeight="1" x14ac:dyDescent="0.6">
      <c r="A17" s="339"/>
      <c r="B17" s="335" t="s">
        <v>74</v>
      </c>
      <c r="C17" s="336"/>
      <c r="D17" s="46" t="str">
        <f t="shared" si="2"/>
        <v/>
      </c>
      <c r="E17" s="251"/>
      <c r="F17" s="251"/>
      <c r="G17" s="251"/>
      <c r="H17" s="251"/>
      <c r="I17" s="251"/>
      <c r="J17" s="25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s="6" customFormat="1" ht="17.100000000000001" customHeight="1" x14ac:dyDescent="0.6">
      <c r="A18" s="339"/>
      <c r="B18" s="335" t="s">
        <v>19</v>
      </c>
      <c r="C18" s="336"/>
      <c r="D18" s="44" t="str">
        <f t="shared" si="2"/>
        <v/>
      </c>
      <c r="E18" s="249"/>
      <c r="F18" s="249"/>
      <c r="G18" s="249"/>
      <c r="H18" s="249"/>
      <c r="I18" s="249"/>
      <c r="J18" s="249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s="6" customFormat="1" ht="17.100000000000001" customHeight="1" x14ac:dyDescent="0.6">
      <c r="A19" s="339"/>
      <c r="B19" s="335" t="s">
        <v>71</v>
      </c>
      <c r="C19" s="336"/>
      <c r="D19" s="44" t="str">
        <f t="shared" si="2"/>
        <v>15만원</v>
      </c>
      <c r="E19" s="249">
        <v>15</v>
      </c>
      <c r="F19" s="249"/>
      <c r="G19" s="249"/>
      <c r="H19" s="249"/>
      <c r="I19" s="249"/>
      <c r="J19" s="249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s="6" customFormat="1" ht="17.100000000000001" customHeight="1" x14ac:dyDescent="0.6">
      <c r="A20" s="339"/>
      <c r="B20" s="347" t="s">
        <v>72</v>
      </c>
      <c r="C20" s="348"/>
      <c r="D20" s="45" t="str">
        <f t="shared" si="2"/>
        <v>15만원</v>
      </c>
      <c r="E20" s="250">
        <v>15</v>
      </c>
      <c r="F20" s="250"/>
      <c r="G20" s="250"/>
      <c r="H20" s="250"/>
      <c r="I20" s="250"/>
      <c r="J20" s="25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s="6" customFormat="1" ht="17.100000000000001" customHeight="1" x14ac:dyDescent="0.6">
      <c r="A21" s="337" t="s">
        <v>20</v>
      </c>
      <c r="B21" s="333" t="s">
        <v>21</v>
      </c>
      <c r="C21" s="334"/>
      <c r="D21" s="43" t="str">
        <f t="shared" si="2"/>
        <v>5,000만원</v>
      </c>
      <c r="E21" s="248">
        <v>5000</v>
      </c>
      <c r="F21" s="248"/>
      <c r="G21" s="248"/>
      <c r="H21" s="248"/>
      <c r="I21" s="248"/>
      <c r="J21" s="24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s="6" customFormat="1" ht="17.100000000000001" customHeight="1" x14ac:dyDescent="0.6">
      <c r="A22" s="337"/>
      <c r="B22" s="335" t="s">
        <v>22</v>
      </c>
      <c r="C22" s="336"/>
      <c r="D22" s="44" t="str">
        <f t="shared" si="2"/>
        <v>1,000만원</v>
      </c>
      <c r="E22" s="249">
        <v>1000</v>
      </c>
      <c r="F22" s="249"/>
      <c r="G22" s="249"/>
      <c r="H22" s="249"/>
      <c r="I22" s="249"/>
      <c r="J22" s="249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s="6" customFormat="1" ht="17.100000000000001" customHeight="1" x14ac:dyDescent="0.6">
      <c r="A23" s="337"/>
      <c r="B23" s="335" t="s">
        <v>23</v>
      </c>
      <c r="C23" s="336"/>
      <c r="D23" s="44" t="str">
        <f t="shared" si="2"/>
        <v>1,000만원</v>
      </c>
      <c r="E23" s="249">
        <v>1000</v>
      </c>
      <c r="F23" s="249"/>
      <c r="G23" s="249"/>
      <c r="H23" s="249"/>
      <c r="I23" s="249"/>
      <c r="J23" s="249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s="6" customFormat="1" ht="17.100000000000001" customHeight="1" x14ac:dyDescent="0.6">
      <c r="A24" s="337"/>
      <c r="B24" s="335" t="s">
        <v>65</v>
      </c>
      <c r="C24" s="336"/>
      <c r="D24" s="47" t="str">
        <f t="shared" si="2"/>
        <v>5,000만원</v>
      </c>
      <c r="E24" s="252">
        <v>5000</v>
      </c>
      <c r="F24" s="252"/>
      <c r="G24" s="252"/>
      <c r="H24" s="252"/>
      <c r="I24" s="252"/>
      <c r="J24" s="252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s="6" customFormat="1" ht="17.100000000000001" customHeight="1" x14ac:dyDescent="0.6">
      <c r="A25" s="337"/>
      <c r="B25" s="335" t="s">
        <v>66</v>
      </c>
      <c r="C25" s="336"/>
      <c r="D25" s="47" t="str">
        <f t="shared" si="2"/>
        <v/>
      </c>
      <c r="E25" s="252"/>
      <c r="F25" s="252"/>
      <c r="G25" s="252"/>
      <c r="H25" s="252"/>
      <c r="I25" s="252"/>
      <c r="J25" s="252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s="6" customFormat="1" ht="17.100000000000001" customHeight="1" x14ac:dyDescent="0.6">
      <c r="A26" s="337"/>
      <c r="B26" s="347" t="s">
        <v>67</v>
      </c>
      <c r="C26" s="348"/>
      <c r="D26" s="45" t="str">
        <f t="shared" si="2"/>
        <v/>
      </c>
      <c r="E26" s="250"/>
      <c r="F26" s="250"/>
      <c r="G26" s="250"/>
      <c r="H26" s="250"/>
      <c r="I26" s="250"/>
      <c r="J26" s="25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s="6" customFormat="1" ht="17.100000000000001" customHeight="1" x14ac:dyDescent="0.6">
      <c r="A27" s="338" t="s">
        <v>24</v>
      </c>
      <c r="B27" s="333" t="s">
        <v>25</v>
      </c>
      <c r="C27" s="334"/>
      <c r="D27" s="46" t="str">
        <f t="shared" si="2"/>
        <v>1,000만원</v>
      </c>
      <c r="E27" s="251">
        <v>1000</v>
      </c>
      <c r="F27" s="251"/>
      <c r="G27" s="251"/>
      <c r="H27" s="251"/>
      <c r="I27" s="251"/>
      <c r="J27" s="251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s="6" customFormat="1" ht="17.100000000000001" customHeight="1" x14ac:dyDescent="0.6">
      <c r="A28" s="337"/>
      <c r="B28" s="335" t="s">
        <v>26</v>
      </c>
      <c r="C28" s="336"/>
      <c r="D28" s="44" t="str">
        <f t="shared" si="2"/>
        <v>1,000만원</v>
      </c>
      <c r="E28" s="249">
        <v>1000</v>
      </c>
      <c r="F28" s="249"/>
      <c r="G28" s="249"/>
      <c r="H28" s="249"/>
      <c r="I28" s="249"/>
      <c r="J28" s="249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s="6" customFormat="1" ht="17.100000000000001" customHeight="1" x14ac:dyDescent="0.6">
      <c r="A29" s="337"/>
      <c r="B29" s="335" t="s">
        <v>27</v>
      </c>
      <c r="C29" s="336"/>
      <c r="D29" s="44" t="str">
        <f t="shared" si="2"/>
        <v/>
      </c>
      <c r="E29" s="249"/>
      <c r="F29" s="249"/>
      <c r="G29" s="249"/>
      <c r="H29" s="249"/>
      <c r="I29" s="249"/>
      <c r="J29" s="249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s="6" customFormat="1" ht="17.100000000000001" customHeight="1" x14ac:dyDescent="0.6">
      <c r="A30" s="337"/>
      <c r="B30" s="335" t="s">
        <v>28</v>
      </c>
      <c r="C30" s="336"/>
      <c r="D30" s="44" t="str">
        <f t="shared" si="2"/>
        <v/>
      </c>
      <c r="E30" s="249"/>
      <c r="F30" s="249"/>
      <c r="G30" s="249"/>
      <c r="H30" s="249"/>
      <c r="I30" s="249"/>
      <c r="J30" s="24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s="6" customFormat="1" ht="17.100000000000001" customHeight="1" x14ac:dyDescent="0.6">
      <c r="A31" s="337"/>
      <c r="B31" s="335" t="s">
        <v>29</v>
      </c>
      <c r="C31" s="336"/>
      <c r="D31" s="47" t="str">
        <f t="shared" si="2"/>
        <v/>
      </c>
      <c r="E31" s="252"/>
      <c r="F31" s="252"/>
      <c r="G31" s="252"/>
      <c r="H31" s="252"/>
      <c r="I31" s="252"/>
      <c r="J31" s="252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s="6" customFormat="1" ht="17.100000000000001" customHeight="1" x14ac:dyDescent="0.6">
      <c r="A32" s="337"/>
      <c r="B32" s="347" t="s">
        <v>69</v>
      </c>
      <c r="C32" s="348"/>
      <c r="D32" s="47" t="str">
        <f t="shared" si="2"/>
        <v>2,000만원</v>
      </c>
      <c r="E32" s="252">
        <v>2000</v>
      </c>
      <c r="F32" s="252"/>
      <c r="G32" s="252"/>
      <c r="H32" s="252"/>
      <c r="I32" s="252"/>
      <c r="J32" s="252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s="6" customFormat="1" ht="17.100000000000001" customHeight="1" x14ac:dyDescent="0.6">
      <c r="A33" s="337" t="s">
        <v>30</v>
      </c>
      <c r="B33" s="333" t="s">
        <v>68</v>
      </c>
      <c r="C33" s="334"/>
      <c r="D33" s="43" t="str">
        <f t="shared" si="2"/>
        <v>1,000만원</v>
      </c>
      <c r="E33" s="248">
        <v>1000</v>
      </c>
      <c r="F33" s="248"/>
      <c r="G33" s="248"/>
      <c r="H33" s="248"/>
      <c r="I33" s="248"/>
      <c r="J33" s="24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s="6" customFormat="1" ht="17.100000000000001" customHeight="1" x14ac:dyDescent="0.6">
      <c r="A34" s="337"/>
      <c r="B34" s="335" t="s">
        <v>75</v>
      </c>
      <c r="C34" s="336"/>
      <c r="D34" s="46" t="str">
        <f t="shared" si="2"/>
        <v>1,000만원</v>
      </c>
      <c r="E34" s="251">
        <v>1000</v>
      </c>
      <c r="F34" s="251"/>
      <c r="G34" s="251"/>
      <c r="H34" s="251"/>
      <c r="I34" s="251"/>
      <c r="J34" s="251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s="6" customFormat="1" ht="17.100000000000001" customHeight="1" x14ac:dyDescent="0.6">
      <c r="A35" s="337"/>
      <c r="B35" s="335" t="s">
        <v>31</v>
      </c>
      <c r="C35" s="336"/>
      <c r="D35" s="44" t="str">
        <f t="shared" si="2"/>
        <v/>
      </c>
      <c r="E35" s="249"/>
      <c r="F35" s="249"/>
      <c r="G35" s="249"/>
      <c r="H35" s="249"/>
      <c r="I35" s="249"/>
      <c r="J35" s="249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s="6" customFormat="1" ht="17.100000000000001" customHeight="1" x14ac:dyDescent="0.6">
      <c r="A36" s="337"/>
      <c r="B36" s="335" t="s">
        <v>28</v>
      </c>
      <c r="C36" s="336"/>
      <c r="D36" s="44" t="str">
        <f t="shared" si="2"/>
        <v/>
      </c>
      <c r="E36" s="249"/>
      <c r="F36" s="249"/>
      <c r="G36" s="249"/>
      <c r="H36" s="249"/>
      <c r="I36" s="249"/>
      <c r="J36" s="24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s="6" customFormat="1" ht="17.100000000000001" customHeight="1" x14ac:dyDescent="0.6">
      <c r="A37" s="355"/>
      <c r="B37" s="335" t="s">
        <v>73</v>
      </c>
      <c r="C37" s="336"/>
      <c r="D37" s="47" t="str">
        <f t="shared" si="2"/>
        <v/>
      </c>
      <c r="E37" s="252"/>
      <c r="F37" s="252"/>
      <c r="G37" s="252"/>
      <c r="H37" s="252"/>
      <c r="I37" s="252"/>
      <c r="J37" s="252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s="6" customFormat="1" ht="17.100000000000001" customHeight="1" x14ac:dyDescent="0.6">
      <c r="A38" s="355"/>
      <c r="B38" s="347" t="s">
        <v>69</v>
      </c>
      <c r="C38" s="348"/>
      <c r="D38" s="47" t="str">
        <f t="shared" si="2"/>
        <v>2,000만원</v>
      </c>
      <c r="E38" s="252">
        <v>2000</v>
      </c>
      <c r="F38" s="252"/>
      <c r="G38" s="252"/>
      <c r="H38" s="252"/>
      <c r="I38" s="252"/>
      <c r="J38" s="25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s="6" customFormat="1" ht="17.100000000000001" customHeight="1" x14ac:dyDescent="0.6">
      <c r="A39" s="337" t="s">
        <v>32</v>
      </c>
      <c r="B39" s="333" t="s">
        <v>33</v>
      </c>
      <c r="C39" s="334"/>
      <c r="D39" s="43" t="str">
        <f t="shared" si="2"/>
        <v>100만원</v>
      </c>
      <c r="E39" s="248">
        <v>100</v>
      </c>
      <c r="F39" s="248"/>
      <c r="G39" s="248"/>
      <c r="H39" s="248"/>
      <c r="I39" s="248"/>
      <c r="J39" s="24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s="6" customFormat="1" ht="17.100000000000001" customHeight="1" x14ac:dyDescent="0.6">
      <c r="A40" s="337"/>
      <c r="B40" s="335" t="s">
        <v>34</v>
      </c>
      <c r="C40" s="336"/>
      <c r="D40" s="44" t="s">
        <v>421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s="6" customFormat="1" ht="17.100000000000001" customHeight="1" x14ac:dyDescent="0.6">
      <c r="A41" s="337"/>
      <c r="B41" s="335" t="s">
        <v>70</v>
      </c>
      <c r="C41" s="336"/>
      <c r="D41" s="44" t="s">
        <v>421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s="6" customFormat="1" ht="17.100000000000001" customHeight="1" x14ac:dyDescent="0.6">
      <c r="A42" s="337"/>
      <c r="B42" s="335" t="s">
        <v>35</v>
      </c>
      <c r="C42" s="336"/>
      <c r="D42" s="47" t="str">
        <f t="shared" si="2"/>
        <v>100만원</v>
      </c>
      <c r="E42" s="249">
        <v>100</v>
      </c>
      <c r="F42" s="249"/>
      <c r="G42" s="249"/>
      <c r="H42" s="249"/>
      <c r="I42" s="249"/>
      <c r="J42" s="24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s="6" customFormat="1" ht="17.100000000000001" customHeight="1" x14ac:dyDescent="0.6">
      <c r="A43" s="337"/>
      <c r="B43" s="347" t="s">
        <v>36</v>
      </c>
      <c r="C43" s="348"/>
      <c r="D43" s="45" t="s">
        <v>421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s="6" customFormat="1" ht="17.100000000000001" customHeight="1" x14ac:dyDescent="0.6">
      <c r="A44" s="338" t="s">
        <v>37</v>
      </c>
      <c r="B44" s="333" t="s">
        <v>38</v>
      </c>
      <c r="C44" s="334"/>
      <c r="D44" s="46" t="str">
        <f t="shared" si="2"/>
        <v/>
      </c>
      <c r="E44" s="251"/>
      <c r="F44" s="251"/>
      <c r="G44" s="251"/>
      <c r="H44" s="251"/>
      <c r="I44" s="251"/>
      <c r="J44" s="251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s="6" customFormat="1" ht="17.100000000000001" customHeight="1" x14ac:dyDescent="0.6">
      <c r="A45" s="337"/>
      <c r="B45" s="335" t="s">
        <v>39</v>
      </c>
      <c r="C45" s="336"/>
      <c r="D45" s="44" t="str">
        <f t="shared" si="2"/>
        <v/>
      </c>
      <c r="E45" s="249"/>
      <c r="F45" s="249"/>
      <c r="G45" s="249"/>
      <c r="H45" s="249"/>
      <c r="I45" s="249"/>
      <c r="J45" s="249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s="6" customFormat="1" ht="17.100000000000001" customHeight="1" x14ac:dyDescent="0.6">
      <c r="A46" s="337"/>
      <c r="B46" s="335" t="s">
        <v>40</v>
      </c>
      <c r="C46" s="336"/>
      <c r="D46" s="44" t="str">
        <f t="shared" si="2"/>
        <v>7만원</v>
      </c>
      <c r="E46" s="249">
        <v>7</v>
      </c>
      <c r="F46" s="249"/>
      <c r="G46" s="249"/>
      <c r="H46" s="249"/>
      <c r="I46" s="249"/>
      <c r="J46" s="249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s="6" customFormat="1" ht="17.100000000000001" customHeight="1" x14ac:dyDescent="0.6">
      <c r="A47" s="355"/>
      <c r="B47" s="347" t="s">
        <v>41</v>
      </c>
      <c r="C47" s="348"/>
      <c r="D47" s="47" t="str">
        <f t="shared" si="2"/>
        <v>7만원</v>
      </c>
      <c r="E47" s="252">
        <v>7</v>
      </c>
      <c r="F47" s="252"/>
      <c r="G47" s="252"/>
      <c r="H47" s="252"/>
      <c r="I47" s="252"/>
      <c r="J47" s="252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s="6" customFormat="1" ht="17.100000000000001" customHeight="1" x14ac:dyDescent="0.6">
      <c r="A48" s="337" t="s">
        <v>42</v>
      </c>
      <c r="B48" s="333" t="s">
        <v>43</v>
      </c>
      <c r="C48" s="334"/>
      <c r="D48" s="43" t="str">
        <f t="shared" si="2"/>
        <v>40만원</v>
      </c>
      <c r="E48" s="248">
        <v>40</v>
      </c>
      <c r="F48" s="248"/>
      <c r="G48" s="248"/>
      <c r="H48" s="248"/>
      <c r="I48" s="248"/>
      <c r="J48" s="24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6" customFormat="1" ht="17.100000000000001" customHeight="1" x14ac:dyDescent="0.6">
      <c r="A49" s="337"/>
      <c r="B49" s="347" t="s">
        <v>44</v>
      </c>
      <c r="C49" s="348"/>
      <c r="D49" s="45" t="str">
        <f t="shared" si="2"/>
        <v>20만원</v>
      </c>
      <c r="E49" s="250">
        <v>20</v>
      </c>
      <c r="F49" s="250"/>
      <c r="G49" s="250"/>
      <c r="H49" s="250"/>
      <c r="I49" s="250"/>
      <c r="J49" s="250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s="6" customFormat="1" ht="17.100000000000001" customHeight="1" x14ac:dyDescent="0.6">
      <c r="A50" s="354" t="s">
        <v>45</v>
      </c>
      <c r="B50" s="333" t="s">
        <v>46</v>
      </c>
      <c r="C50" s="334"/>
      <c r="D50" s="46" t="str">
        <f t="shared" si="2"/>
        <v>50만원</v>
      </c>
      <c r="E50" s="251">
        <v>50</v>
      </c>
      <c r="F50" s="251"/>
      <c r="G50" s="251"/>
      <c r="H50" s="251"/>
      <c r="I50" s="251"/>
      <c r="J50" s="251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s="6" customFormat="1" ht="17.100000000000001" customHeight="1" x14ac:dyDescent="0.6">
      <c r="A51" s="337"/>
      <c r="B51" s="335" t="s">
        <v>47</v>
      </c>
      <c r="C51" s="336"/>
      <c r="D51" s="44" t="str">
        <f t="shared" si="2"/>
        <v>50만원</v>
      </c>
      <c r="E51" s="249">
        <v>50</v>
      </c>
      <c r="F51" s="249"/>
      <c r="G51" s="249"/>
      <c r="H51" s="249"/>
      <c r="I51" s="249"/>
      <c r="J51" s="249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s="6" customFormat="1" ht="17.100000000000001" customHeight="1" x14ac:dyDescent="0.6">
      <c r="A52" s="337"/>
      <c r="B52" s="335" t="s">
        <v>48</v>
      </c>
      <c r="C52" s="336"/>
      <c r="D52" s="44" t="str">
        <f t="shared" si="2"/>
        <v>100만원</v>
      </c>
      <c r="E52" s="249">
        <v>100</v>
      </c>
      <c r="F52" s="249"/>
      <c r="G52" s="249"/>
      <c r="H52" s="249"/>
      <c r="I52" s="249"/>
      <c r="J52" s="249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s="6" customFormat="1" ht="17.100000000000001" customHeight="1" x14ac:dyDescent="0.6">
      <c r="A53" s="355"/>
      <c r="B53" s="347" t="s">
        <v>49</v>
      </c>
      <c r="C53" s="348"/>
      <c r="D53" s="47" t="str">
        <f t="shared" si="2"/>
        <v>50만원</v>
      </c>
      <c r="E53" s="252">
        <v>50</v>
      </c>
      <c r="F53" s="252"/>
      <c r="G53" s="252"/>
      <c r="H53" s="252"/>
      <c r="I53" s="252"/>
      <c r="J53" s="252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s="6" customFormat="1" ht="17.100000000000001" customHeight="1" x14ac:dyDescent="0.6">
      <c r="A54" s="339" t="s">
        <v>50</v>
      </c>
      <c r="B54" s="333" t="s">
        <v>51</v>
      </c>
      <c r="C54" s="334"/>
      <c r="D54" s="43" t="str">
        <f t="shared" si="2"/>
        <v/>
      </c>
      <c r="E54" s="248"/>
      <c r="F54" s="248"/>
      <c r="G54" s="248"/>
      <c r="H54" s="248"/>
      <c r="I54" s="248"/>
      <c r="J54" s="24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s="6" customFormat="1" ht="17.100000000000001" customHeight="1" x14ac:dyDescent="0.6">
      <c r="A55" s="339"/>
      <c r="B55" s="335" t="s">
        <v>52</v>
      </c>
      <c r="C55" s="336"/>
      <c r="D55" s="44" t="str">
        <f t="shared" si="2"/>
        <v/>
      </c>
      <c r="E55" s="249"/>
      <c r="F55" s="249"/>
      <c r="G55" s="249"/>
      <c r="H55" s="249"/>
      <c r="I55" s="249"/>
      <c r="J55" s="249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s="36" customFormat="1" ht="17.100000000000001" customHeight="1" x14ac:dyDescent="0.6">
      <c r="A56" s="339"/>
      <c r="B56" s="335" t="s">
        <v>53</v>
      </c>
      <c r="C56" s="336"/>
      <c r="D56" s="44" t="str">
        <f t="shared" si="2"/>
        <v/>
      </c>
      <c r="E56" s="253"/>
      <c r="F56" s="253"/>
      <c r="G56" s="253"/>
      <c r="H56" s="253"/>
      <c r="I56" s="253"/>
      <c r="J56" s="253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 s="6" customFormat="1" ht="17.100000000000001" customHeight="1" x14ac:dyDescent="0.6">
      <c r="A57" s="339"/>
      <c r="B57" s="335" t="s">
        <v>54</v>
      </c>
      <c r="C57" s="336"/>
      <c r="D57" s="44" t="str">
        <f t="shared" si="2"/>
        <v/>
      </c>
      <c r="E57" s="254"/>
      <c r="F57" s="254"/>
      <c r="G57" s="254"/>
      <c r="H57" s="254"/>
      <c r="I57" s="254"/>
      <c r="J57" s="254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s="6" customFormat="1" ht="17.100000000000001" customHeight="1" x14ac:dyDescent="0.6">
      <c r="A58" s="339"/>
      <c r="B58" s="347" t="s">
        <v>64</v>
      </c>
      <c r="C58" s="348"/>
      <c r="D58" s="45" t="str">
        <f t="shared" si="2"/>
        <v/>
      </c>
      <c r="E58" s="255"/>
      <c r="F58" s="255"/>
      <c r="G58" s="255"/>
      <c r="H58" s="255"/>
      <c r="I58" s="255"/>
      <c r="J58" s="25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s="5" customFormat="1" ht="17.100000000000001" customHeight="1" x14ac:dyDescent="0.6">
      <c r="A59" s="41" t="s">
        <v>55</v>
      </c>
      <c r="B59" s="352" t="s">
        <v>56</v>
      </c>
      <c r="C59" s="353"/>
      <c r="D59" s="277" t="str">
        <f>IF(SUM(E59:CA59)=0,"",SUM(E59:CA59)&amp;"억")</f>
        <v/>
      </c>
      <c r="E59" s="20"/>
      <c r="F59" s="20"/>
      <c r="G59" s="20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s="6" customFormat="1" ht="17.100000000000001" customHeight="1" x14ac:dyDescent="0.6">
      <c r="A60" s="339" t="s">
        <v>57</v>
      </c>
      <c r="B60" s="333" t="s">
        <v>58</v>
      </c>
      <c r="C60" s="334"/>
      <c r="D60" s="43" t="str">
        <f t="shared" si="2"/>
        <v/>
      </c>
      <c r="E60" s="256"/>
      <c r="F60" s="256"/>
      <c r="G60" s="256"/>
      <c r="H60" s="256"/>
      <c r="I60" s="256"/>
      <c r="J60" s="25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s="6" customFormat="1" ht="17.100000000000001" customHeight="1" x14ac:dyDescent="0.6">
      <c r="A61" s="337"/>
      <c r="B61" s="335" t="s">
        <v>59</v>
      </c>
      <c r="C61" s="336"/>
      <c r="D61" s="44" t="str">
        <f t="shared" si="2"/>
        <v/>
      </c>
      <c r="E61" s="254"/>
      <c r="F61" s="254"/>
      <c r="G61" s="254"/>
      <c r="H61" s="254"/>
      <c r="I61" s="254"/>
      <c r="J61" s="254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s="6" customFormat="1" ht="17.100000000000001" customHeight="1" x14ac:dyDescent="0.6">
      <c r="A62" s="337"/>
      <c r="B62" s="335" t="s">
        <v>61</v>
      </c>
      <c r="C62" s="336"/>
      <c r="D62" s="44" t="str">
        <f t="shared" si="2"/>
        <v/>
      </c>
      <c r="E62" s="254"/>
      <c r="F62" s="254"/>
      <c r="G62" s="254"/>
      <c r="H62" s="254"/>
      <c r="I62" s="254"/>
      <c r="J62" s="254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s="6" customFormat="1" ht="17.100000000000001" customHeight="1" x14ac:dyDescent="0.6">
      <c r="A63" s="351"/>
      <c r="B63" s="357" t="s">
        <v>60</v>
      </c>
      <c r="C63" s="358"/>
      <c r="D63" s="48" t="str">
        <f t="shared" si="2"/>
        <v/>
      </c>
      <c r="E63" s="257"/>
      <c r="F63" s="257"/>
      <c r="G63" s="257"/>
      <c r="H63" s="257"/>
      <c r="I63" s="257"/>
      <c r="J63" s="257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x14ac:dyDescent="0.6">
      <c r="B64" s="359"/>
      <c r="C64" s="359"/>
      <c r="D64" s="2" t="str">
        <f t="shared" ref="D64:D65" si="3">IF(SUM(E64:CA64)=0,"",
IF(SUM(E64:CA64)&gt;=10000,
INT(SUM(E64:CA64)/10000)&amp;"억"&amp;IF(MOD(SUM(E64:CA64),10000)=0,"",MOD(SUM(E64:CA64),10000)&amp;"만원"),
SUM(E64:CA64)&amp;"만원"))</f>
        <v/>
      </c>
    </row>
    <row r="65" spans="2:4" x14ac:dyDescent="0.6">
      <c r="B65" s="356"/>
      <c r="C65" s="356"/>
      <c r="D65" s="2" t="str">
        <f t="shared" si="3"/>
        <v/>
      </c>
    </row>
    <row r="66" spans="2:4" x14ac:dyDescent="0.6">
      <c r="B66" s="356"/>
      <c r="C66" s="356"/>
    </row>
    <row r="67" spans="2:4" x14ac:dyDescent="0.6">
      <c r="B67" s="356"/>
      <c r="C67" s="356"/>
    </row>
    <row r="68" spans="2:4" x14ac:dyDescent="0.6">
      <c r="B68" s="356"/>
      <c r="C68" s="356"/>
    </row>
    <row r="69" spans="2:4" x14ac:dyDescent="0.6">
      <c r="B69" s="356"/>
      <c r="C69" s="356"/>
    </row>
    <row r="70" spans="2:4" x14ac:dyDescent="0.6">
      <c r="B70" s="356"/>
      <c r="C70" s="356"/>
    </row>
    <row r="71" spans="2:4" x14ac:dyDescent="0.6">
      <c r="B71" s="356"/>
      <c r="C71" s="356"/>
    </row>
    <row r="72" spans="2:4" x14ac:dyDescent="0.6">
      <c r="B72" s="356"/>
      <c r="C72" s="356"/>
    </row>
    <row r="73" spans="2:4" x14ac:dyDescent="0.6">
      <c r="B73" s="356"/>
      <c r="C73" s="356"/>
    </row>
    <row r="74" spans="2:4" x14ac:dyDescent="0.6">
      <c r="B74" s="356"/>
      <c r="C74" s="356"/>
    </row>
    <row r="75" spans="2:4" x14ac:dyDescent="0.6">
      <c r="B75" s="356"/>
      <c r="C75" s="356"/>
    </row>
    <row r="76" spans="2:4" x14ac:dyDescent="0.6">
      <c r="B76" s="356"/>
      <c r="C76" s="356"/>
    </row>
    <row r="77" spans="2:4" x14ac:dyDescent="0.6">
      <c r="B77" s="356"/>
      <c r="C77" s="356"/>
    </row>
    <row r="78" spans="2:4" x14ac:dyDescent="0.6">
      <c r="B78" s="356"/>
      <c r="C78" s="356"/>
    </row>
    <row r="79" spans="2:4" x14ac:dyDescent="0.6">
      <c r="B79" s="356"/>
      <c r="C79" s="356"/>
    </row>
    <row r="80" spans="2:4" x14ac:dyDescent="0.6">
      <c r="B80" s="356"/>
      <c r="C80" s="356"/>
    </row>
    <row r="81" spans="2:3" x14ac:dyDescent="0.6">
      <c r="B81" s="356"/>
      <c r="C81" s="356"/>
    </row>
    <row r="82" spans="2:3" x14ac:dyDescent="0.6">
      <c r="B82" s="356"/>
      <c r="C82" s="356"/>
    </row>
    <row r="83" spans="2:3" x14ac:dyDescent="0.6">
      <c r="B83" s="356"/>
      <c r="C83" s="356"/>
    </row>
    <row r="84" spans="2:3" x14ac:dyDescent="0.6">
      <c r="B84" s="356"/>
      <c r="C84" s="356"/>
    </row>
    <row r="85" spans="2:3" x14ac:dyDescent="0.6">
      <c r="B85" s="356"/>
      <c r="C85" s="356"/>
    </row>
    <row r="86" spans="2:3" x14ac:dyDescent="0.6">
      <c r="B86" s="356"/>
      <c r="C86" s="356"/>
    </row>
    <row r="87" spans="2:3" x14ac:dyDescent="0.6">
      <c r="B87" s="356"/>
      <c r="C87" s="356"/>
    </row>
    <row r="88" spans="2:3" x14ac:dyDescent="0.6">
      <c r="B88" s="356"/>
      <c r="C88" s="356"/>
    </row>
    <row r="89" spans="2:3" x14ac:dyDescent="0.6">
      <c r="B89" s="356"/>
      <c r="C89" s="356"/>
    </row>
    <row r="90" spans="2:3" x14ac:dyDescent="0.6">
      <c r="B90" s="356"/>
      <c r="C90" s="356"/>
    </row>
    <row r="91" spans="2:3" x14ac:dyDescent="0.6">
      <c r="B91" s="356"/>
      <c r="C91" s="356"/>
    </row>
    <row r="92" spans="2:3" x14ac:dyDescent="0.6">
      <c r="B92" s="356"/>
      <c r="C92" s="356"/>
    </row>
    <row r="93" spans="2:3" x14ac:dyDescent="0.6">
      <c r="B93" s="356"/>
      <c r="C93" s="356"/>
    </row>
    <row r="94" spans="2:3" x14ac:dyDescent="0.6">
      <c r="B94" s="356"/>
      <c r="C94" s="356"/>
    </row>
    <row r="95" spans="2:3" x14ac:dyDescent="0.6">
      <c r="B95" s="356"/>
      <c r="C95" s="356"/>
    </row>
    <row r="96" spans="2:3" x14ac:dyDescent="0.6">
      <c r="B96" s="356"/>
      <c r="C96" s="356"/>
    </row>
    <row r="97" spans="2:3" x14ac:dyDescent="0.6">
      <c r="B97" s="356"/>
      <c r="C97" s="356"/>
    </row>
    <row r="98" spans="2:3" x14ac:dyDescent="0.6">
      <c r="B98" s="356"/>
      <c r="C98" s="356"/>
    </row>
    <row r="99" spans="2:3" x14ac:dyDescent="0.6">
      <c r="B99" s="356"/>
      <c r="C99" s="356"/>
    </row>
    <row r="100" spans="2:3" x14ac:dyDescent="0.6">
      <c r="B100" s="356"/>
      <c r="C100" s="356"/>
    </row>
    <row r="101" spans="2:3" x14ac:dyDescent="0.6">
      <c r="B101" s="356"/>
      <c r="C101" s="356"/>
    </row>
    <row r="102" spans="2:3" x14ac:dyDescent="0.6">
      <c r="B102" s="356"/>
      <c r="C102" s="356"/>
    </row>
    <row r="103" spans="2:3" x14ac:dyDescent="0.6">
      <c r="B103" s="356"/>
      <c r="C103" s="356"/>
    </row>
    <row r="104" spans="2:3" x14ac:dyDescent="0.6">
      <c r="B104" s="356"/>
      <c r="C104" s="356"/>
    </row>
    <row r="105" spans="2:3" x14ac:dyDescent="0.6">
      <c r="B105" s="356"/>
      <c r="C105" s="356"/>
    </row>
  </sheetData>
  <mergeCells count="114"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A60:A63"/>
    <mergeCell ref="B60:C60"/>
    <mergeCell ref="B61:C61"/>
    <mergeCell ref="B62:C62"/>
    <mergeCell ref="B63:C63"/>
    <mergeCell ref="A50:A53"/>
    <mergeCell ref="B50:C50"/>
    <mergeCell ref="B51:C51"/>
    <mergeCell ref="B52:C52"/>
    <mergeCell ref="B53:C53"/>
    <mergeCell ref="A54:A58"/>
    <mergeCell ref="B54:C54"/>
    <mergeCell ref="B55:C55"/>
    <mergeCell ref="B56:C56"/>
    <mergeCell ref="B57:C57"/>
    <mergeCell ref="A44:A47"/>
    <mergeCell ref="B44:C44"/>
    <mergeCell ref="B45:C45"/>
    <mergeCell ref="B46:C46"/>
    <mergeCell ref="B47:C47"/>
    <mergeCell ref="A48:A49"/>
    <mergeCell ref="B48:C48"/>
    <mergeCell ref="B49:C49"/>
    <mergeCell ref="A39:A43"/>
    <mergeCell ref="B39:C39"/>
    <mergeCell ref="B40:C40"/>
    <mergeCell ref="B41:C41"/>
    <mergeCell ref="B42:C42"/>
    <mergeCell ref="B43:C43"/>
    <mergeCell ref="A33:A38"/>
    <mergeCell ref="B33:C33"/>
    <mergeCell ref="B34:C34"/>
    <mergeCell ref="B35:C35"/>
    <mergeCell ref="B36:C36"/>
    <mergeCell ref="B37:C37"/>
    <mergeCell ref="B38:C38"/>
    <mergeCell ref="A27:A32"/>
    <mergeCell ref="B27:C27"/>
    <mergeCell ref="B28:C28"/>
    <mergeCell ref="B29:C29"/>
    <mergeCell ref="B30:C30"/>
    <mergeCell ref="B31:C31"/>
    <mergeCell ref="B32:C32"/>
    <mergeCell ref="B20:C20"/>
    <mergeCell ref="A21:A26"/>
    <mergeCell ref="B21:C21"/>
    <mergeCell ref="B22:C22"/>
    <mergeCell ref="B23:C23"/>
    <mergeCell ref="B24:C24"/>
    <mergeCell ref="B25:C25"/>
    <mergeCell ref="B26:C26"/>
    <mergeCell ref="A12:A15"/>
    <mergeCell ref="B12:C12"/>
    <mergeCell ref="B13:C13"/>
    <mergeCell ref="B14:C14"/>
    <mergeCell ref="B15:C15"/>
    <mergeCell ref="A16:A20"/>
    <mergeCell ref="B16:C16"/>
    <mergeCell ref="B17:C17"/>
    <mergeCell ref="B18:C18"/>
    <mergeCell ref="B19:C19"/>
    <mergeCell ref="A1:C2"/>
    <mergeCell ref="A3:B4"/>
    <mergeCell ref="A5:B6"/>
    <mergeCell ref="A7:B7"/>
    <mergeCell ref="A8:B8"/>
    <mergeCell ref="A9:A11"/>
    <mergeCell ref="B9:C9"/>
    <mergeCell ref="B10:C10"/>
    <mergeCell ref="B11:C11"/>
  </mergeCells>
  <phoneticPr fontId="3" type="noConversion"/>
  <printOptions horizontalCentered="1" verticalCentered="1"/>
  <pageMargins left="0" right="0" top="0" bottom="0" header="0" footer="0"/>
  <pageSetup paperSize="9" scale="75" orientation="portrait" r:id="rId1"/>
  <colBreaks count="2" manualBreakCount="2">
    <brk id="7" max="62" man="1"/>
    <brk id="10" max="6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36B9-ED3A-41DD-9F4B-623A83DC725E}">
  <sheetPr>
    <tabColor theme="5" tint="0.59999389629810485"/>
  </sheetPr>
  <dimension ref="A1:Q81"/>
  <sheetViews>
    <sheetView showGridLines="0" view="pageBreakPreview" zoomScale="85" zoomScaleNormal="100" zoomScaleSheetLayoutView="85" workbookViewId="0">
      <selection activeCell="N1" sqref="N1"/>
    </sheetView>
  </sheetViews>
  <sheetFormatPr defaultRowHeight="16.899999999999999" x14ac:dyDescent="0.6"/>
  <cols>
    <col min="1" max="1" width="3.6875" customWidth="1"/>
    <col min="2" max="2" width="16.0625" customWidth="1"/>
    <col min="3" max="3" width="3.625" customWidth="1"/>
    <col min="4" max="4" width="11.625" customWidth="1"/>
    <col min="5" max="5" width="8.625" customWidth="1"/>
    <col min="6" max="6" width="16.0625" customWidth="1"/>
    <col min="7" max="7" width="3.625" customWidth="1"/>
    <col min="8" max="8" width="11.625" customWidth="1"/>
    <col min="9" max="9" width="8.625" customWidth="1"/>
    <col min="10" max="10" width="16.0625" customWidth="1"/>
    <col min="11" max="11" width="3.625" customWidth="1"/>
    <col min="12" max="12" width="11.625" customWidth="1"/>
    <col min="13" max="13" width="3.6875" customWidth="1"/>
    <col min="18" max="18" width="0" hidden="1" customWidth="1"/>
  </cols>
  <sheetData>
    <row r="1" spans="1:17" ht="28.5" customHeight="1" x14ac:dyDescent="1">
      <c r="A1" s="80"/>
      <c r="B1" s="173"/>
      <c r="C1" s="174"/>
      <c r="D1" s="175"/>
      <c r="E1" s="389" t="str">
        <f>표지!C3</f>
        <v>홍길동</v>
      </c>
      <c r="F1" s="389"/>
      <c r="G1" s="386" t="s">
        <v>403</v>
      </c>
      <c r="H1" s="386"/>
      <c r="I1" s="386"/>
      <c r="J1" s="386"/>
      <c r="K1" s="259"/>
      <c r="L1" s="264"/>
      <c r="M1" s="282"/>
      <c r="N1" s="80"/>
      <c r="O1" s="550" t="s">
        <v>425</v>
      </c>
      <c r="P1" s="551"/>
      <c r="Q1" s="551"/>
    </row>
    <row r="2" spans="1:17" ht="16.899999999999999" customHeight="1" x14ac:dyDescent="1">
      <c r="A2" s="80"/>
      <c r="B2" s="177"/>
      <c r="C2" s="94"/>
      <c r="D2" s="94"/>
      <c r="E2" s="390"/>
      <c r="F2" s="390"/>
      <c r="G2" s="387"/>
      <c r="H2" s="387"/>
      <c r="I2" s="387"/>
      <c r="J2" s="387"/>
      <c r="K2" s="101"/>
      <c r="L2" s="265"/>
      <c r="M2" s="148"/>
      <c r="N2" s="80"/>
      <c r="O2" s="549" t="s">
        <v>424</v>
      </c>
      <c r="P2" s="285"/>
      <c r="Q2" s="285"/>
    </row>
    <row r="3" spans="1:17" ht="1.9" customHeight="1" x14ac:dyDescent="1">
      <c r="A3" s="80"/>
      <c r="B3" s="177"/>
      <c r="C3" s="94"/>
      <c r="D3" s="94"/>
      <c r="E3" s="94"/>
      <c r="F3" s="81"/>
      <c r="G3" s="94"/>
      <c r="H3" s="94"/>
      <c r="I3" s="94"/>
      <c r="J3" s="81"/>
      <c r="K3" s="94"/>
      <c r="L3" s="266"/>
      <c r="M3" s="80"/>
      <c r="N3" s="80"/>
    </row>
    <row r="4" spans="1:17" ht="10.15" customHeight="1" thickBot="1" x14ac:dyDescent="0.65"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2"/>
    </row>
    <row r="5" spans="1:17" ht="38.35" customHeight="1" x14ac:dyDescent="0.6"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</row>
    <row r="6" spans="1:17" ht="25.05" customHeight="1" x14ac:dyDescent="0.6">
      <c r="B6" s="388" t="s">
        <v>3</v>
      </c>
      <c r="C6" s="388"/>
      <c r="D6" s="388"/>
      <c r="E6" s="260"/>
      <c r="F6" s="388" t="s">
        <v>96</v>
      </c>
      <c r="G6" s="388"/>
      <c r="H6" s="388"/>
      <c r="I6" s="260"/>
      <c r="J6" s="388" t="s">
        <v>404</v>
      </c>
      <c r="K6" s="388"/>
      <c r="L6" s="388"/>
      <c r="N6" s="325"/>
      <c r="O6" s="325"/>
      <c r="P6" s="325"/>
    </row>
    <row r="7" spans="1:17" ht="25.05" customHeight="1" x14ac:dyDescent="0.6">
      <c r="B7" s="374" t="str">
        <f>보장분석!B9</f>
        <v>일반사망</v>
      </c>
      <c r="C7" s="375"/>
      <c r="D7" s="286" t="str">
        <f>보장분석!D9</f>
        <v>3,000만원</v>
      </c>
      <c r="E7" s="261"/>
      <c r="F7" s="374" t="str">
        <f>보장분석!B12</f>
        <v>질병후유장해(3%)</v>
      </c>
      <c r="G7" s="375"/>
      <c r="H7" s="286" t="str">
        <f>보장분석!D12</f>
        <v/>
      </c>
      <c r="I7" s="261"/>
      <c r="J7" s="374" t="str">
        <f>보장분석!B16</f>
        <v>경증 치매 진단</v>
      </c>
      <c r="K7" s="375"/>
      <c r="L7" s="286" t="str">
        <f>보장분석!D16</f>
        <v/>
      </c>
      <c r="N7" s="325"/>
      <c r="O7" s="325"/>
      <c r="P7" s="325"/>
    </row>
    <row r="8" spans="1:17" ht="25.05" customHeight="1" x14ac:dyDescent="0.6">
      <c r="B8" s="536" t="str">
        <f>보장분석!B10</f>
        <v>질병사망</v>
      </c>
      <c r="C8" s="376"/>
      <c r="D8" s="287" t="str">
        <f>보장분석!D10</f>
        <v/>
      </c>
      <c r="E8" s="262"/>
      <c r="F8" s="536" t="str">
        <f>보장분석!B13</f>
        <v>질병후유장해(80%)</v>
      </c>
      <c r="G8" s="376"/>
      <c r="H8" s="287" t="str">
        <f>보장분석!D13</f>
        <v/>
      </c>
      <c r="I8" s="262"/>
      <c r="J8" s="536" t="str">
        <f>보장분석!B17</f>
        <v>시설급여</v>
      </c>
      <c r="K8" s="376"/>
      <c r="L8" s="287" t="str">
        <f>보장분석!D17</f>
        <v/>
      </c>
      <c r="M8" s="1"/>
      <c r="N8" s="187"/>
    </row>
    <row r="9" spans="1:17" ht="25.05" customHeight="1" x14ac:dyDescent="0.6">
      <c r="B9" s="536" t="str">
        <f>보장분석!B11</f>
        <v>상해사망</v>
      </c>
      <c r="C9" s="376"/>
      <c r="D9" s="287" t="str">
        <f>보장분석!D11</f>
        <v/>
      </c>
      <c r="E9" s="262"/>
      <c r="F9" s="536" t="str">
        <f>보장분석!B14</f>
        <v>상해후유장해(3%)</v>
      </c>
      <c r="G9" s="376"/>
      <c r="H9" s="287" t="str">
        <f>보장분석!D14</f>
        <v/>
      </c>
      <c r="I9" s="262"/>
      <c r="J9" s="536" t="str">
        <f>보장분석!B18</f>
        <v>재가급여</v>
      </c>
      <c r="K9" s="376"/>
      <c r="L9" s="287" t="str">
        <f>보장분석!D18</f>
        <v/>
      </c>
      <c r="M9" s="1"/>
    </row>
    <row r="10" spans="1:17" ht="25.05" customHeight="1" x14ac:dyDescent="0.6">
      <c r="B10" s="364"/>
      <c r="C10" s="365"/>
      <c r="D10" s="263" t="str">
        <f>보장분석!D12</f>
        <v/>
      </c>
      <c r="E10" s="240"/>
      <c r="F10" s="536" t="str">
        <f>보장분석!B15</f>
        <v>상해후유장해(80%)</v>
      </c>
      <c r="G10" s="376"/>
      <c r="H10" s="263" t="str">
        <f>보장분석!D15</f>
        <v/>
      </c>
      <c r="I10" s="240"/>
      <c r="J10" s="536" t="str">
        <f>보장분석!B19</f>
        <v>질병 간병인 일당</v>
      </c>
      <c r="K10" s="376"/>
      <c r="L10" s="263" t="str">
        <f>보장분석!D19</f>
        <v/>
      </c>
      <c r="M10" s="1"/>
    </row>
    <row r="11" spans="1:17" ht="25.05" customHeight="1" x14ac:dyDescent="0.6">
      <c r="B11" s="366"/>
      <c r="C11" s="367"/>
      <c r="D11" s="288" t="str">
        <f>보장분석!D13</f>
        <v/>
      </c>
      <c r="F11" s="366"/>
      <c r="G11" s="367"/>
      <c r="H11" s="288" t="str">
        <f>보장분석!D16</f>
        <v/>
      </c>
      <c r="J11" s="537" t="str">
        <f>보장분석!B20</f>
        <v>상해 간병인 일당</v>
      </c>
      <c r="K11" s="369"/>
      <c r="L11" s="288" t="str">
        <f>보장분석!D20</f>
        <v/>
      </c>
    </row>
    <row r="12" spans="1:17" ht="17" customHeight="1" x14ac:dyDescent="0.6">
      <c r="B12" s="240"/>
      <c r="C12" s="240"/>
      <c r="D12" s="88"/>
      <c r="F12" s="240"/>
      <c r="G12" s="240"/>
      <c r="H12" s="88"/>
      <c r="J12" s="240"/>
      <c r="K12" s="240"/>
      <c r="L12" s="88"/>
    </row>
    <row r="13" spans="1:17" ht="17" customHeight="1" x14ac:dyDescent="0.6">
      <c r="B13" s="240"/>
      <c r="C13" s="240"/>
      <c r="D13" s="88"/>
      <c r="F13" s="240"/>
      <c r="G13" s="240"/>
      <c r="H13" s="88"/>
      <c r="J13" s="240"/>
      <c r="K13" s="240"/>
      <c r="L13" s="88"/>
    </row>
    <row r="14" spans="1:17" ht="25.05" customHeight="1" x14ac:dyDescent="0.6">
      <c r="B14" s="393" t="s">
        <v>20</v>
      </c>
      <c r="C14" s="394"/>
      <c r="D14" s="395"/>
      <c r="F14" s="393" t="s">
        <v>24</v>
      </c>
      <c r="G14" s="394"/>
      <c r="H14" s="395"/>
      <c r="J14" s="393" t="s">
        <v>30</v>
      </c>
      <c r="K14" s="394"/>
      <c r="L14" s="395"/>
    </row>
    <row r="15" spans="1:17" ht="25.05" customHeight="1" x14ac:dyDescent="0.6">
      <c r="B15" s="374" t="str">
        <f>보장분석!B21</f>
        <v>일반암 진단</v>
      </c>
      <c r="C15" s="375"/>
      <c r="D15" s="286" t="str">
        <f>보장분석!D21</f>
        <v>3,000만원</v>
      </c>
      <c r="E15" s="240"/>
      <c r="F15" s="374" t="str">
        <f>보장분석!B27</f>
        <v>뇌혈관질환 진단</v>
      </c>
      <c r="G15" s="375"/>
      <c r="H15" s="270" t="str">
        <f>보장분석!D27</f>
        <v>1,000만원</v>
      </c>
      <c r="I15" s="240"/>
      <c r="J15" s="374" t="str">
        <f>보장분석!B33</f>
        <v>심혈관질환 진단</v>
      </c>
      <c r="K15" s="375"/>
      <c r="L15" s="270" t="str">
        <f>보장분석!D33</f>
        <v/>
      </c>
      <c r="M15" s="1"/>
    </row>
    <row r="16" spans="1:17" ht="25.05" customHeight="1" x14ac:dyDescent="0.6">
      <c r="B16" s="536" t="str">
        <f>보장분석!B22</f>
        <v>유사암 진단</v>
      </c>
      <c r="C16" s="376"/>
      <c r="D16" s="287" t="str">
        <f>보장분석!D22</f>
        <v>600만원</v>
      </c>
      <c r="E16" s="240"/>
      <c r="F16" s="536" t="str">
        <f>보장분석!B28</f>
        <v>뇌졸증 진단</v>
      </c>
      <c r="G16" s="376"/>
      <c r="H16" s="263" t="str">
        <f>보장분석!D28</f>
        <v/>
      </c>
      <c r="I16" s="240"/>
      <c r="J16" s="374" t="str">
        <f>보장분석!B34</f>
        <v>허혈성심장 진단</v>
      </c>
      <c r="K16" s="375"/>
      <c r="L16" s="263" t="str">
        <f>보장분석!D34</f>
        <v/>
      </c>
      <c r="M16" s="1"/>
    </row>
    <row r="17" spans="2:13" ht="25.05" customHeight="1" x14ac:dyDescent="0.6">
      <c r="B17" s="536" t="str">
        <f>보장분석!B23</f>
        <v>암 주요 치료비</v>
      </c>
      <c r="C17" s="376"/>
      <c r="D17" s="287" t="str">
        <f>보장분석!D23</f>
        <v/>
      </c>
      <c r="E17" s="240"/>
      <c r="F17" s="536" t="str">
        <f>보장분석!B29</f>
        <v>뇌출혈 진단</v>
      </c>
      <c r="G17" s="376"/>
      <c r="H17" s="263" t="str">
        <f>보장분석!D29</f>
        <v>3,000만원</v>
      </c>
      <c r="I17" s="240"/>
      <c r="J17" s="374" t="str">
        <f>보장분석!B35</f>
        <v>급성심근경색 진단</v>
      </c>
      <c r="K17" s="375"/>
      <c r="L17" s="263" t="str">
        <f>보장분석!D35</f>
        <v>3,000만원</v>
      </c>
      <c r="M17" s="1"/>
    </row>
    <row r="18" spans="2:13" ht="25.05" customHeight="1" x14ac:dyDescent="0.6">
      <c r="B18" s="536" t="str">
        <f>보장분석!B24</f>
        <v>중입자 치료비</v>
      </c>
      <c r="C18" s="376"/>
      <c r="D18" s="263" t="str">
        <f>보장분석!D24</f>
        <v/>
      </c>
      <c r="E18" s="240"/>
      <c r="F18" s="536" t="str">
        <f>보장분석!B30</f>
        <v>혈전용해치료비</v>
      </c>
      <c r="G18" s="376"/>
      <c r="H18" s="263" t="str">
        <f>보장분석!D30</f>
        <v/>
      </c>
      <c r="I18" s="240"/>
      <c r="J18" s="374" t="str">
        <f>보장분석!B36</f>
        <v>혈전용해치료비</v>
      </c>
      <c r="K18" s="375"/>
      <c r="L18" s="263" t="str">
        <f>보장분석!D36</f>
        <v/>
      </c>
      <c r="M18" s="1"/>
    </row>
    <row r="19" spans="2:13" ht="25.05" customHeight="1" x14ac:dyDescent="0.6">
      <c r="B19" s="536" t="str">
        <f>보장분석!B25</f>
        <v>항암 방사선 치료비</v>
      </c>
      <c r="C19" s="376"/>
      <c r="D19" s="289" t="str">
        <f>보장분석!D25</f>
        <v>1억</v>
      </c>
      <c r="E19" s="240"/>
      <c r="F19" s="536" t="str">
        <f>보장분석!B31</f>
        <v>뇌혈관 수술비</v>
      </c>
      <c r="G19" s="376"/>
      <c r="H19" s="263" t="str">
        <f>보장분석!D31</f>
        <v>1,000만원</v>
      </c>
      <c r="I19" s="240"/>
      <c r="J19" s="374" t="str">
        <f>보장분석!B37</f>
        <v>허혈성심장 수술비</v>
      </c>
      <c r="K19" s="375"/>
      <c r="L19" s="263" t="str">
        <f>보장분석!D37</f>
        <v>1,000만원</v>
      </c>
      <c r="M19" s="1"/>
    </row>
    <row r="20" spans="2:13" ht="25.05" customHeight="1" x14ac:dyDescent="0.6">
      <c r="B20" s="537" t="str">
        <f>보장분석!B26</f>
        <v>항암 약물 치료비</v>
      </c>
      <c r="C20" s="369"/>
      <c r="D20" s="268" t="str">
        <f>보장분석!D26</f>
        <v>1억</v>
      </c>
      <c r="E20" s="240"/>
      <c r="F20" s="537" t="str">
        <f>보장분석!B32</f>
        <v>2대 주요 치료비</v>
      </c>
      <c r="G20" s="369"/>
      <c r="H20" s="268" t="str">
        <f>보장분석!D32</f>
        <v/>
      </c>
      <c r="I20" s="240"/>
      <c r="J20" s="374" t="str">
        <f>보장분석!B38</f>
        <v>2대 주요 치료비</v>
      </c>
      <c r="K20" s="375"/>
      <c r="L20" s="268" t="str">
        <f>보장분석!D38</f>
        <v/>
      </c>
      <c r="M20" s="1"/>
    </row>
    <row r="21" spans="2:13" ht="17" customHeight="1" x14ac:dyDescent="0.6">
      <c r="B21" s="83"/>
      <c r="C21" s="240"/>
      <c r="D21" s="240"/>
      <c r="E21" s="240"/>
      <c r="F21" s="83"/>
      <c r="G21" s="240"/>
      <c r="H21" s="240"/>
      <c r="I21" s="240"/>
      <c r="J21" s="368"/>
      <c r="K21" s="368"/>
      <c r="L21" s="240"/>
      <c r="M21" s="1"/>
    </row>
    <row r="22" spans="2:13" ht="17" customHeight="1" x14ac:dyDescent="0.6">
      <c r="B22" s="83"/>
      <c r="C22" s="240"/>
      <c r="D22" s="240"/>
      <c r="E22" s="240"/>
      <c r="F22" s="83"/>
      <c r="G22" s="240"/>
      <c r="H22" s="240"/>
      <c r="I22" s="240"/>
      <c r="J22" s="83"/>
      <c r="K22" s="240"/>
      <c r="L22" s="240"/>
      <c r="M22" s="1"/>
    </row>
    <row r="23" spans="2:13" ht="25.05" customHeight="1" x14ac:dyDescent="0.6">
      <c r="B23" s="381" t="s">
        <v>32</v>
      </c>
      <c r="C23" s="382"/>
      <c r="D23" s="383"/>
      <c r="E23" s="244"/>
      <c r="F23" s="381" t="s">
        <v>37</v>
      </c>
      <c r="G23" s="382"/>
      <c r="H23" s="383"/>
      <c r="I23" s="244"/>
      <c r="J23" s="381" t="s">
        <v>405</v>
      </c>
      <c r="K23" s="382"/>
      <c r="L23" s="383"/>
      <c r="M23" s="1"/>
    </row>
    <row r="24" spans="2:13" ht="25.05" customHeight="1" x14ac:dyDescent="0.6">
      <c r="B24" s="374" t="str">
        <f>보장분석!B39</f>
        <v>질병 수술비</v>
      </c>
      <c r="C24" s="375"/>
      <c r="D24" s="286" t="str">
        <f>보장분석!D39</f>
        <v>50만원</v>
      </c>
      <c r="E24" s="244"/>
      <c r="F24" s="374" t="str">
        <f>보장분석!B44</f>
        <v>질병 입원</v>
      </c>
      <c r="G24" s="375"/>
      <c r="H24" s="286" t="str">
        <f>보장분석!D44</f>
        <v>1만원</v>
      </c>
      <c r="I24" s="244"/>
      <c r="J24" s="374" t="str">
        <f>보장분석!B50</f>
        <v>깁스</v>
      </c>
      <c r="K24" s="375"/>
      <c r="L24" s="286" t="str">
        <f>보장분석!D50</f>
        <v>50만원</v>
      </c>
      <c r="M24" s="1"/>
    </row>
    <row r="25" spans="2:13" ht="25.05" customHeight="1" x14ac:dyDescent="0.6">
      <c r="B25" s="374" t="str">
        <f>보장분석!B40</f>
        <v>질병 종 수술비</v>
      </c>
      <c r="C25" s="375"/>
      <c r="D25" s="286" t="str">
        <f>보장분석!D40</f>
        <v>직접입력</v>
      </c>
      <c r="E25" s="244"/>
      <c r="F25" s="374" t="str">
        <f>보장분석!B45</f>
        <v>상해 입원</v>
      </c>
      <c r="G25" s="375"/>
      <c r="H25" s="287" t="str">
        <f>보장분석!D45</f>
        <v>1만원</v>
      </c>
      <c r="I25" s="244"/>
      <c r="J25" s="374" t="str">
        <f>보장분석!B51</f>
        <v>골절진단</v>
      </c>
      <c r="K25" s="375"/>
      <c r="L25" s="287" t="str">
        <f>보장분석!D51</f>
        <v>50만원</v>
      </c>
      <c r="M25" s="1"/>
    </row>
    <row r="26" spans="2:13" ht="25.05" customHeight="1" x14ac:dyDescent="0.6">
      <c r="B26" s="374" t="str">
        <f>보장분석!B41</f>
        <v>N대 수술비</v>
      </c>
      <c r="C26" s="375"/>
      <c r="D26" s="286" t="str">
        <f>보장분석!D41</f>
        <v>직접입력</v>
      </c>
      <c r="E26" s="85"/>
      <c r="F26" s="374" t="str">
        <f>보장분석!B46</f>
        <v>질병 간호간병통합</v>
      </c>
      <c r="G26" s="375"/>
      <c r="H26" s="287" t="str">
        <f>보장분석!D46</f>
        <v/>
      </c>
      <c r="I26" s="85"/>
      <c r="J26" s="374" t="str">
        <f>보장분석!B52</f>
        <v>5대골절진단</v>
      </c>
      <c r="K26" s="375"/>
      <c r="L26" s="287" t="str">
        <f>보장분석!D52</f>
        <v>100만원</v>
      </c>
    </row>
    <row r="27" spans="2:13" ht="25.05" customHeight="1" x14ac:dyDescent="0.6">
      <c r="B27" s="374" t="str">
        <f>보장분석!B42</f>
        <v>상해 수술비</v>
      </c>
      <c r="C27" s="375"/>
      <c r="D27" s="286" t="str">
        <f>보장분석!D42</f>
        <v/>
      </c>
      <c r="E27" s="85"/>
      <c r="F27" s="374" t="str">
        <f>보장분석!B47</f>
        <v>상해 간호간병통합</v>
      </c>
      <c r="G27" s="375"/>
      <c r="H27" s="263" t="str">
        <f>보장분석!D47</f>
        <v/>
      </c>
      <c r="I27" s="85"/>
      <c r="J27" s="374" t="str">
        <f>보장분석!B53</f>
        <v>화상진단</v>
      </c>
      <c r="K27" s="375"/>
      <c r="L27" s="263" t="str">
        <f>보장분석!D53</f>
        <v>30만원</v>
      </c>
    </row>
    <row r="28" spans="2:13" ht="25.05" customHeight="1" x14ac:dyDescent="0.6">
      <c r="B28" s="374" t="str">
        <f>보장분석!B43</f>
        <v>상해 종 수술비</v>
      </c>
      <c r="C28" s="375"/>
      <c r="D28" s="287" t="str">
        <f>보장분석!D43</f>
        <v>직접입력</v>
      </c>
      <c r="E28" s="85"/>
      <c r="F28" s="374" t="str">
        <f>보장분석!B48</f>
        <v>상급종합병원</v>
      </c>
      <c r="G28" s="375"/>
      <c r="H28" s="289" t="str">
        <f>보장분석!D48</f>
        <v/>
      </c>
      <c r="I28" s="85"/>
      <c r="J28" s="384"/>
      <c r="K28" s="385"/>
      <c r="L28" s="289"/>
    </row>
    <row r="29" spans="2:13" ht="25.05" customHeight="1" x14ac:dyDescent="0.6">
      <c r="B29" s="391"/>
      <c r="C29" s="392"/>
      <c r="D29" s="275"/>
      <c r="E29" s="85"/>
      <c r="F29" s="369" t="str">
        <f>보장분석!B49</f>
        <v>종합병원</v>
      </c>
      <c r="G29" s="370"/>
      <c r="H29" s="288" t="str">
        <f>보장분석!D49</f>
        <v/>
      </c>
      <c r="I29" s="85"/>
      <c r="J29" s="377"/>
      <c r="K29" s="378"/>
      <c r="L29" s="269"/>
    </row>
    <row r="30" spans="2:13" ht="17" customHeight="1" x14ac:dyDescent="0.6">
      <c r="B30" s="83"/>
      <c r="C30" s="83"/>
      <c r="D30" s="85"/>
      <c r="E30" s="85"/>
      <c r="F30" s="276"/>
      <c r="G30" s="276"/>
      <c r="H30" s="85"/>
      <c r="I30" s="85"/>
      <c r="J30" s="83"/>
      <c r="K30" s="83"/>
      <c r="L30" s="85"/>
    </row>
    <row r="31" spans="2:13" ht="17" customHeight="1" x14ac:dyDescent="0.6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</row>
    <row r="32" spans="2:13" ht="25.05" customHeight="1" x14ac:dyDescent="0.6">
      <c r="B32" s="371" t="s">
        <v>50</v>
      </c>
      <c r="C32" s="372"/>
      <c r="D32" s="373"/>
      <c r="E32" s="85"/>
      <c r="F32" s="371" t="s">
        <v>406</v>
      </c>
      <c r="G32" s="372"/>
      <c r="H32" s="373"/>
      <c r="I32" s="85"/>
      <c r="J32" s="371" t="s">
        <v>55</v>
      </c>
      <c r="K32" s="372"/>
      <c r="L32" s="373"/>
    </row>
    <row r="33" spans="1:17" ht="25.05" customHeight="1" x14ac:dyDescent="0.6">
      <c r="B33" s="374" t="str">
        <f>보장분석!B54</f>
        <v>벌금(대인)</v>
      </c>
      <c r="C33" s="375"/>
      <c r="D33" s="286" t="str">
        <f>보장분석!D54</f>
        <v/>
      </c>
      <c r="E33" s="85"/>
      <c r="F33" s="374" t="str">
        <f>보장분석!B60</f>
        <v>질병입원 의료비</v>
      </c>
      <c r="G33" s="375"/>
      <c r="H33" s="286" t="str">
        <f>보장분석!D60</f>
        <v/>
      </c>
      <c r="I33" s="85"/>
      <c r="J33" s="374" t="str">
        <f>보장분석!B59</f>
        <v>일상생활배상책임</v>
      </c>
      <c r="K33" s="375"/>
      <c r="L33" s="286" t="str">
        <f>보장분석!D59</f>
        <v/>
      </c>
    </row>
    <row r="34" spans="1:17" ht="25.05" customHeight="1" x14ac:dyDescent="0.6">
      <c r="B34" s="536" t="str">
        <f>보장분석!B55</f>
        <v>벌금(대물)</v>
      </c>
      <c r="C34" s="376"/>
      <c r="D34" s="287" t="str">
        <f>보장분석!D55</f>
        <v/>
      </c>
      <c r="E34" s="85"/>
      <c r="F34" s="536" t="str">
        <f>보장분석!B61</f>
        <v>질병통원 의료비</v>
      </c>
      <c r="G34" s="376"/>
      <c r="H34" s="287" t="str">
        <f>보장분석!D61</f>
        <v/>
      </c>
      <c r="I34" s="85"/>
      <c r="J34" s="379"/>
      <c r="K34" s="380"/>
      <c r="L34" s="287"/>
    </row>
    <row r="35" spans="1:17" ht="25.05" customHeight="1" x14ac:dyDescent="0.6">
      <c r="B35" s="536" t="str">
        <f>보장분석!B56</f>
        <v>교통사고처리지원금</v>
      </c>
      <c r="C35" s="376"/>
      <c r="D35" s="287" t="str">
        <f>보장분석!D56</f>
        <v/>
      </c>
      <c r="E35" s="85"/>
      <c r="F35" s="536" t="str">
        <f>보장분석!B62</f>
        <v>상해입원 의료비</v>
      </c>
      <c r="G35" s="376"/>
      <c r="H35" s="287" t="str">
        <f>보장분석!D62</f>
        <v/>
      </c>
      <c r="I35" s="85"/>
      <c r="J35" s="379"/>
      <c r="K35" s="380"/>
      <c r="L35" s="287"/>
      <c r="N35" s="325"/>
      <c r="O35" s="325"/>
      <c r="P35" s="325"/>
      <c r="Q35" s="325"/>
    </row>
    <row r="36" spans="1:17" ht="25.05" customHeight="1" x14ac:dyDescent="0.85">
      <c r="B36" s="536" t="str">
        <f>보장분석!B57</f>
        <v>변호사선임비용</v>
      </c>
      <c r="C36" s="376"/>
      <c r="D36" s="263" t="str">
        <f>보장분석!D57</f>
        <v/>
      </c>
      <c r="E36" s="241"/>
      <c r="F36" s="536" t="str">
        <f>보장분석!B63</f>
        <v>상해통원 의료비</v>
      </c>
      <c r="G36" s="376"/>
      <c r="H36" s="263" t="str">
        <f>보장분석!D63</f>
        <v/>
      </c>
      <c r="I36" s="241"/>
      <c r="J36" s="364"/>
      <c r="K36" s="365"/>
      <c r="L36" s="263"/>
      <c r="N36" s="325"/>
      <c r="O36" s="325"/>
      <c r="P36" s="325"/>
      <c r="Q36" s="325"/>
    </row>
    <row r="37" spans="1:17" ht="25.05" customHeight="1" x14ac:dyDescent="0.85">
      <c r="B37" s="537" t="str">
        <f>보장분석!B58</f>
        <v>자동차사고부상치료비</v>
      </c>
      <c r="C37" s="369"/>
      <c r="D37" s="288" t="str">
        <f>보장분석!D58</f>
        <v/>
      </c>
      <c r="E37" s="242"/>
      <c r="F37" s="366"/>
      <c r="G37" s="367"/>
      <c r="H37" s="288"/>
      <c r="I37" s="242"/>
      <c r="J37" s="366"/>
      <c r="K37" s="367"/>
      <c r="L37" s="288"/>
      <c r="N37" s="325"/>
      <c r="O37" s="325"/>
      <c r="P37" s="325"/>
      <c r="Q37" s="325"/>
    </row>
    <row r="38" spans="1:17" ht="38.35" customHeight="1" x14ac:dyDescent="0.9">
      <c r="B38" s="85"/>
      <c r="C38" s="267"/>
      <c r="D38" s="243"/>
      <c r="E38" s="243"/>
      <c r="F38" s="85"/>
      <c r="G38" s="258"/>
      <c r="H38" s="243"/>
      <c r="I38" s="243"/>
      <c r="J38" s="85"/>
      <c r="K38" s="258"/>
      <c r="L38" s="243"/>
      <c r="N38" s="325"/>
      <c r="O38" s="325"/>
      <c r="P38" s="325"/>
      <c r="Q38" s="325"/>
    </row>
    <row r="39" spans="1:17" ht="15.85" customHeight="1" x14ac:dyDescent="0.6">
      <c r="A39" s="89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7"/>
      <c r="O39" s="89"/>
    </row>
    <row r="40" spans="1:17" ht="30" customHeight="1" x14ac:dyDescent="0.6">
      <c r="A40" s="89"/>
      <c r="B40" s="273"/>
      <c r="C40" s="363" t="str">
        <f>표지!C3</f>
        <v>홍길동</v>
      </c>
      <c r="D40" s="363"/>
      <c r="E40" s="363"/>
      <c r="F40" s="361" t="s">
        <v>407</v>
      </c>
      <c r="G40" s="361"/>
      <c r="H40" s="361"/>
      <c r="I40" s="362">
        <f>보장분석!A5</f>
        <v>150000</v>
      </c>
      <c r="J40" s="362"/>
      <c r="K40" s="274"/>
      <c r="L40" s="84"/>
      <c r="M40" s="89"/>
    </row>
    <row r="41" spans="1:17" ht="30" customHeight="1" x14ac:dyDescent="0.6">
      <c r="A41" s="89"/>
      <c r="B41" s="84"/>
      <c r="C41" s="84"/>
      <c r="D41" s="89"/>
      <c r="E41" s="361" t="s">
        <v>408</v>
      </c>
      <c r="F41" s="361"/>
      <c r="G41" s="361"/>
      <c r="H41" s="362">
        <f ca="1">SUM(보장분석!E6:CA6)</f>
        <v>53550000</v>
      </c>
      <c r="I41" s="362"/>
      <c r="J41" s="362"/>
      <c r="K41" s="84"/>
      <c r="L41" s="84"/>
      <c r="M41" s="89"/>
    </row>
    <row r="42" spans="1:17" ht="15.85" customHeight="1" x14ac:dyDescent="0.6">
      <c r="A42" s="89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7"/>
      <c r="O42" s="89"/>
    </row>
    <row r="43" spans="1:17" ht="28.05" customHeight="1" x14ac:dyDescent="0.6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spans="1:17" ht="28.05" customHeight="1" x14ac:dyDescent="0.6"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spans="1:17" ht="28.05" customHeight="1" x14ac:dyDescent="0.6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7" ht="28.05" customHeight="1" x14ac:dyDescent="0.6"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7" ht="28.05" customHeight="1" x14ac:dyDescent="0.6"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</row>
    <row r="48" spans="1:17" ht="28.05" customHeight="1" x14ac:dyDescent="0.6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</row>
    <row r="49" spans="2:12" ht="28.05" customHeight="1" x14ac:dyDescent="0.6"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</row>
    <row r="50" spans="2:12" ht="28.05" customHeight="1" x14ac:dyDescent="0.6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</row>
    <row r="51" spans="2:12" ht="28.05" customHeight="1" x14ac:dyDescent="0.6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</row>
    <row r="52" spans="2:12" ht="28.05" customHeight="1" x14ac:dyDescent="0.6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</row>
    <row r="53" spans="2:12" ht="28.05" customHeight="1" x14ac:dyDescent="0.6"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  <row r="54" spans="2:12" ht="28.05" customHeight="1" x14ac:dyDescent="0.6"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</row>
    <row r="55" spans="2:12" ht="28.05" customHeight="1" x14ac:dyDescent="0.6"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</row>
    <row r="56" spans="2:12" ht="28.05" customHeight="1" x14ac:dyDescent="0.6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</row>
    <row r="57" spans="2:12" ht="28.05" customHeight="1" x14ac:dyDescent="0.6"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</row>
    <row r="58" spans="2:12" ht="28.05" customHeight="1" x14ac:dyDescent="0.6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</row>
    <row r="59" spans="2:12" ht="28.05" customHeight="1" x14ac:dyDescent="0.6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</row>
    <row r="60" spans="2:12" ht="28.05" customHeight="1" x14ac:dyDescent="0.6"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</row>
    <row r="61" spans="2:12" ht="28.05" customHeight="1" x14ac:dyDescent="0.6"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</row>
    <row r="62" spans="2:12" ht="28.05" customHeight="1" x14ac:dyDescent="0.6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2:12" ht="28.05" customHeight="1" x14ac:dyDescent="0.6"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</row>
    <row r="64" spans="2:12" ht="28.05" customHeight="1" x14ac:dyDescent="0.6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</row>
    <row r="65" spans="2:12" ht="28.05" customHeight="1" x14ac:dyDescent="0.6"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</row>
    <row r="66" spans="2:12" ht="28.05" customHeight="1" x14ac:dyDescent="0.6"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</row>
    <row r="67" spans="2:12" ht="28.05" customHeight="1" x14ac:dyDescent="0.6"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</row>
    <row r="68" spans="2:12" ht="28.05" customHeight="1" x14ac:dyDescent="0.6"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</row>
    <row r="69" spans="2:12" ht="28.05" customHeight="1" x14ac:dyDescent="0.6"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</row>
    <row r="70" spans="2:12" ht="28.05" customHeight="1" x14ac:dyDescent="0.6"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</row>
    <row r="71" spans="2:12" ht="28.05" customHeight="1" x14ac:dyDescent="0.6"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</row>
    <row r="72" spans="2:12" ht="28.05" customHeight="1" x14ac:dyDescent="0.6"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</row>
    <row r="73" spans="2:12" ht="28.05" customHeight="1" x14ac:dyDescent="0.6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</row>
    <row r="74" spans="2:12" ht="28.05" customHeight="1" x14ac:dyDescent="0.6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</row>
    <row r="75" spans="2:12" ht="28.05" customHeight="1" x14ac:dyDescent="0.6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</row>
    <row r="76" spans="2:12" ht="28.05" customHeight="1" x14ac:dyDescent="0.6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</row>
    <row r="77" spans="2:12" ht="28.05" customHeight="1" x14ac:dyDescent="0.6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</row>
    <row r="78" spans="2:12" ht="28.05" customHeight="1" x14ac:dyDescent="0.6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2:12" ht="28.05" customHeight="1" x14ac:dyDescent="0.6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</row>
    <row r="80" spans="2:12" ht="28.05" customHeight="1" x14ac:dyDescent="0.6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</row>
    <row r="81" spans="2:12" x14ac:dyDescent="0.6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</row>
  </sheetData>
  <mergeCells count="88">
    <mergeCell ref="N35:Q38"/>
    <mergeCell ref="F29:G29"/>
    <mergeCell ref="B29:C29"/>
    <mergeCell ref="N6:P7"/>
    <mergeCell ref="B7:C7"/>
    <mergeCell ref="B8:C8"/>
    <mergeCell ref="B9:C9"/>
    <mergeCell ref="B15:C15"/>
    <mergeCell ref="F14:H14"/>
    <mergeCell ref="J14:L14"/>
    <mergeCell ref="J11:K11"/>
    <mergeCell ref="B11:C11"/>
    <mergeCell ref="F11:G11"/>
    <mergeCell ref="B14:D14"/>
    <mergeCell ref="B16:C16"/>
    <mergeCell ref="B17:C17"/>
    <mergeCell ref="G1:J2"/>
    <mergeCell ref="B6:D6"/>
    <mergeCell ref="F6:H6"/>
    <mergeCell ref="J6:L6"/>
    <mergeCell ref="F10:G10"/>
    <mergeCell ref="J10:K10"/>
    <mergeCell ref="J7:K7"/>
    <mergeCell ref="J8:K8"/>
    <mergeCell ref="J9:K9"/>
    <mergeCell ref="F7:G7"/>
    <mergeCell ref="F8:G8"/>
    <mergeCell ref="F9:G9"/>
    <mergeCell ref="E1:F2"/>
    <mergeCell ref="B10:C10"/>
    <mergeCell ref="B18:C18"/>
    <mergeCell ref="B19:C19"/>
    <mergeCell ref="B20:C20"/>
    <mergeCell ref="F20:G20"/>
    <mergeCell ref="J15:K15"/>
    <mergeCell ref="J16:K16"/>
    <mergeCell ref="J17:K17"/>
    <mergeCell ref="J18:K18"/>
    <mergeCell ref="J19:K19"/>
    <mergeCell ref="J20:K20"/>
    <mergeCell ref="F15:G15"/>
    <mergeCell ref="F16:G16"/>
    <mergeCell ref="F17:G17"/>
    <mergeCell ref="F18:G18"/>
    <mergeCell ref="F19:G19"/>
    <mergeCell ref="F28:G28"/>
    <mergeCell ref="B23:D23"/>
    <mergeCell ref="B24:C24"/>
    <mergeCell ref="B25:C25"/>
    <mergeCell ref="B26:C26"/>
    <mergeCell ref="B27:C27"/>
    <mergeCell ref="B28:C28"/>
    <mergeCell ref="F23:H23"/>
    <mergeCell ref="F24:G24"/>
    <mergeCell ref="F25:G25"/>
    <mergeCell ref="F26:G26"/>
    <mergeCell ref="F27:G27"/>
    <mergeCell ref="J32:L32"/>
    <mergeCell ref="J33:K33"/>
    <mergeCell ref="J34:K34"/>
    <mergeCell ref="J35:K35"/>
    <mergeCell ref="J23:L23"/>
    <mergeCell ref="J24:K24"/>
    <mergeCell ref="J25:K25"/>
    <mergeCell ref="J26:K26"/>
    <mergeCell ref="J27:K27"/>
    <mergeCell ref="J28:K28"/>
    <mergeCell ref="J36:K36"/>
    <mergeCell ref="J37:K37"/>
    <mergeCell ref="J21:K21"/>
    <mergeCell ref="B37:C37"/>
    <mergeCell ref="F32:H32"/>
    <mergeCell ref="F33:G33"/>
    <mergeCell ref="F34:G34"/>
    <mergeCell ref="F35:G35"/>
    <mergeCell ref="F36:G36"/>
    <mergeCell ref="F37:G37"/>
    <mergeCell ref="J29:K29"/>
    <mergeCell ref="B32:D32"/>
    <mergeCell ref="B33:C33"/>
    <mergeCell ref="B34:C34"/>
    <mergeCell ref="B35:C35"/>
    <mergeCell ref="B36:C36"/>
    <mergeCell ref="E41:G41"/>
    <mergeCell ref="H41:J41"/>
    <mergeCell ref="F40:H40"/>
    <mergeCell ref="C40:E40"/>
    <mergeCell ref="I40:J40"/>
  </mergeCells>
  <phoneticPr fontId="3" type="noConversion"/>
  <hyperlinks>
    <hyperlink ref="O2" location="보장분석!Print_Area" display="보장분석!Print_Area" xr:uid="{84AAB7F5-0D6B-44D5-8A5B-F3AD0A8C8534}"/>
  </hyperlinks>
  <printOptions horizontalCentered="1"/>
  <pageMargins left="0" right="0" top="0.39370078740157483" bottom="0" header="0" footer="0"/>
  <pageSetup paperSize="9" scale="8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71C-9E2E-4992-B043-147F0089DFF2}">
  <sheetPr>
    <tabColor theme="9" tint="0.59999389629810485"/>
  </sheetPr>
  <dimension ref="A1:R81"/>
  <sheetViews>
    <sheetView showGridLines="0" view="pageBreakPreview" zoomScale="85" zoomScaleNormal="100" zoomScaleSheetLayoutView="85" workbookViewId="0">
      <selection activeCell="N1" sqref="N1"/>
    </sheetView>
  </sheetViews>
  <sheetFormatPr defaultRowHeight="16.899999999999999" x14ac:dyDescent="0.6"/>
  <cols>
    <col min="1" max="1" width="3.6875" customWidth="1"/>
    <col min="2" max="2" width="16.0625" customWidth="1"/>
    <col min="3" max="3" width="3.625" customWidth="1"/>
    <col min="4" max="4" width="11.625" customWidth="1"/>
    <col min="5" max="5" width="8.625" customWidth="1"/>
    <col min="6" max="6" width="16.0625" customWidth="1"/>
    <col min="7" max="7" width="3.625" customWidth="1"/>
    <col min="8" max="8" width="11.625" customWidth="1"/>
    <col min="9" max="9" width="8.625" customWidth="1"/>
    <col min="10" max="10" width="16.0625" customWidth="1"/>
    <col min="11" max="11" width="3.625" customWidth="1"/>
    <col min="12" max="12" width="11.625" customWidth="1"/>
    <col min="13" max="13" width="3.6875" customWidth="1"/>
    <col min="18" max="18" width="0" hidden="1" customWidth="1"/>
  </cols>
  <sheetData>
    <row r="1" spans="1:18" ht="28.5" customHeight="1" x14ac:dyDescent="0.7">
      <c r="A1" s="80"/>
      <c r="B1" s="173"/>
      <c r="C1" s="174"/>
      <c r="D1" s="174"/>
      <c r="E1" s="389" t="str">
        <f>표지!C3</f>
        <v>홍길동</v>
      </c>
      <c r="F1" s="389"/>
      <c r="G1" s="386" t="s">
        <v>403</v>
      </c>
      <c r="H1" s="386"/>
      <c r="I1" s="386"/>
      <c r="J1" s="386"/>
      <c r="K1" s="259"/>
      <c r="L1" s="264"/>
      <c r="M1" s="282"/>
      <c r="N1" s="80"/>
      <c r="O1" s="550" t="s">
        <v>426</v>
      </c>
      <c r="P1" s="551"/>
      <c r="Q1" s="551"/>
    </row>
    <row r="2" spans="1:18" ht="16.899999999999999" customHeight="1" x14ac:dyDescent="1">
      <c r="A2" s="80"/>
      <c r="B2" s="177"/>
      <c r="C2" s="560"/>
      <c r="D2" s="555"/>
      <c r="E2" s="552"/>
      <c r="F2" s="552"/>
      <c r="G2" s="554"/>
      <c r="H2" s="554"/>
      <c r="I2" s="554"/>
      <c r="J2" s="554"/>
      <c r="K2" s="553"/>
      <c r="L2" s="265"/>
      <c r="M2" s="148"/>
      <c r="N2" s="80"/>
      <c r="O2" s="549" t="s">
        <v>423</v>
      </c>
      <c r="P2" s="285"/>
      <c r="Q2" s="285"/>
      <c r="R2" s="285"/>
    </row>
    <row r="3" spans="1:18" ht="1.9" customHeight="1" x14ac:dyDescent="1">
      <c r="A3" s="80"/>
      <c r="B3" s="177"/>
      <c r="C3" s="560"/>
      <c r="D3" s="560"/>
      <c r="E3" s="552"/>
      <c r="F3" s="552"/>
      <c r="G3" s="560"/>
      <c r="H3" s="560"/>
      <c r="I3" s="560"/>
      <c r="J3" s="561"/>
      <c r="K3" s="560"/>
      <c r="L3" s="266"/>
      <c r="M3" s="80"/>
      <c r="N3" s="80"/>
    </row>
    <row r="4" spans="1:18" ht="10.15" customHeight="1" thickBot="1" x14ac:dyDescent="0.65"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2"/>
    </row>
    <row r="5" spans="1:18" ht="38.35" customHeight="1" x14ac:dyDescent="0.6"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558" t="s">
        <v>427</v>
      </c>
    </row>
    <row r="6" spans="1:18" ht="25.05" customHeight="1" x14ac:dyDescent="0.6">
      <c r="B6" s="388" t="s">
        <v>3</v>
      </c>
      <c r="C6" s="388"/>
      <c r="D6" s="388"/>
      <c r="E6" s="260"/>
      <c r="F6" s="388" t="s">
        <v>96</v>
      </c>
      <c r="G6" s="388"/>
      <c r="H6" s="388"/>
      <c r="I6" s="260"/>
      <c r="J6" s="388" t="s">
        <v>404</v>
      </c>
      <c r="K6" s="388"/>
      <c r="L6" s="388"/>
      <c r="N6" s="325"/>
      <c r="O6" s="325"/>
      <c r="P6" s="325"/>
    </row>
    <row r="7" spans="1:18" ht="25.05" customHeight="1" x14ac:dyDescent="0.6">
      <c r="B7" s="374" t="str">
        <f>'리모델링 후(보장)'!B9</f>
        <v>일반사망</v>
      </c>
      <c r="C7" s="375"/>
      <c r="D7" s="286" t="str">
        <f>'리모델링 후(보장)'!D9</f>
        <v/>
      </c>
      <c r="E7" s="261"/>
      <c r="F7" s="374" t="str">
        <f>'리모델링 후(보장)'!B12</f>
        <v>질병후유장해(3%)</v>
      </c>
      <c r="G7" s="375"/>
      <c r="H7" s="286" t="str">
        <f>'리모델링 후(보장)'!D12</f>
        <v/>
      </c>
      <c r="I7" s="261"/>
      <c r="J7" s="374" t="str">
        <f>'리모델링 후(보장)'!B16</f>
        <v>경증 치매 진단</v>
      </c>
      <c r="K7" s="375"/>
      <c r="L7" s="286" t="str">
        <f>'리모델링 후(보장)'!D16</f>
        <v/>
      </c>
      <c r="N7" s="325"/>
      <c r="O7" s="325"/>
      <c r="P7" s="325"/>
    </row>
    <row r="8" spans="1:18" ht="25.05" customHeight="1" x14ac:dyDescent="0.6">
      <c r="B8" s="536" t="str">
        <f>'리모델링 후(보장)'!B10</f>
        <v>질병사망</v>
      </c>
      <c r="C8" s="376"/>
      <c r="D8" s="287" t="str">
        <f>'리모델링 후(보장)'!D10</f>
        <v/>
      </c>
      <c r="E8" s="262"/>
      <c r="F8" s="536" t="str">
        <f>'리모델링 후(보장)'!B13</f>
        <v>질병후유장해(80%)</v>
      </c>
      <c r="G8" s="376"/>
      <c r="H8" s="287" t="str">
        <f>'리모델링 후(보장)'!D13</f>
        <v/>
      </c>
      <c r="I8" s="262"/>
      <c r="J8" s="536" t="str">
        <f>'리모델링 후(보장)'!B17</f>
        <v>시설급여</v>
      </c>
      <c r="K8" s="376"/>
      <c r="L8" s="287" t="str">
        <f>'리모델링 후(보장)'!D17</f>
        <v/>
      </c>
      <c r="M8" s="1"/>
      <c r="N8" s="187"/>
    </row>
    <row r="9" spans="1:18" ht="25.05" customHeight="1" x14ac:dyDescent="0.6">
      <c r="B9" s="536" t="str">
        <f>'리모델링 후(보장)'!B11</f>
        <v>상해사망</v>
      </c>
      <c r="C9" s="376"/>
      <c r="D9" s="287" t="str">
        <f>'리모델링 후(보장)'!D11</f>
        <v/>
      </c>
      <c r="E9" s="262"/>
      <c r="F9" s="536" t="str">
        <f>'리모델링 후(보장)'!B14</f>
        <v>상해후유장해(3%)</v>
      </c>
      <c r="G9" s="376"/>
      <c r="H9" s="287" t="str">
        <f>'리모델링 후(보장)'!D14</f>
        <v/>
      </c>
      <c r="I9" s="262"/>
      <c r="J9" s="536" t="str">
        <f>'리모델링 후(보장)'!B18</f>
        <v>재가급여</v>
      </c>
      <c r="K9" s="376"/>
      <c r="L9" s="287" t="str">
        <f>'리모델링 후(보장)'!D18</f>
        <v/>
      </c>
      <c r="M9" s="1"/>
    </row>
    <row r="10" spans="1:18" ht="25.05" customHeight="1" x14ac:dyDescent="0.6">
      <c r="B10" s="364"/>
      <c r="C10" s="365"/>
      <c r="D10" s="263" t="str">
        <f>'리모델링 후(보장)'!D12</f>
        <v/>
      </c>
      <c r="E10" s="240"/>
      <c r="F10" s="536" t="str">
        <f>'리모델링 후(보장)'!B15</f>
        <v>상해후유장해(80%)</v>
      </c>
      <c r="G10" s="376"/>
      <c r="H10" s="263" t="str">
        <f>'리모델링 후(보장)'!D15</f>
        <v/>
      </c>
      <c r="I10" s="240"/>
      <c r="J10" s="536" t="str">
        <f>'리모델링 후(보장)'!B19</f>
        <v>질병 간병인 일당</v>
      </c>
      <c r="K10" s="376"/>
      <c r="L10" s="263" t="str">
        <f>'리모델링 후(보장)'!D19</f>
        <v>15만원</v>
      </c>
      <c r="M10" s="1"/>
    </row>
    <row r="11" spans="1:18" ht="25.05" customHeight="1" x14ac:dyDescent="0.6">
      <c r="B11" s="366"/>
      <c r="C11" s="367"/>
      <c r="D11" s="288" t="str">
        <f>'리모델링 후(보장)'!D13</f>
        <v/>
      </c>
      <c r="F11" s="366"/>
      <c r="G11" s="367"/>
      <c r="H11" s="288" t="str">
        <f>'리모델링 후(보장)'!D16</f>
        <v/>
      </c>
      <c r="J11" s="537" t="str">
        <f>'리모델링 후(보장)'!B20</f>
        <v>상해 간병인 일당</v>
      </c>
      <c r="K11" s="369"/>
      <c r="L11" s="288" t="str">
        <f>'리모델링 후(보장)'!D20</f>
        <v>15만원</v>
      </c>
    </row>
    <row r="12" spans="1:18" ht="17" customHeight="1" x14ac:dyDescent="0.6">
      <c r="B12" s="240"/>
      <c r="C12" s="240"/>
      <c r="D12" s="88"/>
      <c r="F12" s="240"/>
      <c r="G12" s="240"/>
      <c r="H12" s="88"/>
      <c r="J12" s="240"/>
      <c r="K12" s="240"/>
      <c r="L12" s="88"/>
    </row>
    <row r="13" spans="1:18" ht="17" customHeight="1" x14ac:dyDescent="0.6">
      <c r="B13" s="240"/>
      <c r="C13" s="240"/>
      <c r="D13" s="88"/>
      <c r="F13" s="240"/>
      <c r="G13" s="240"/>
      <c r="H13" s="88"/>
      <c r="J13" s="240"/>
      <c r="K13" s="240"/>
      <c r="L13" s="88"/>
    </row>
    <row r="14" spans="1:18" ht="25.05" customHeight="1" x14ac:dyDescent="0.6">
      <c r="B14" s="393" t="s">
        <v>20</v>
      </c>
      <c r="C14" s="394"/>
      <c r="D14" s="395"/>
      <c r="F14" s="393" t="s">
        <v>24</v>
      </c>
      <c r="G14" s="394"/>
      <c r="H14" s="395"/>
      <c r="J14" s="393" t="s">
        <v>30</v>
      </c>
      <c r="K14" s="394"/>
      <c r="L14" s="395"/>
    </row>
    <row r="15" spans="1:18" ht="25.05" customHeight="1" x14ac:dyDescent="0.6">
      <c r="B15" s="374" t="str">
        <f>'리모델링 후(보장)'!B21</f>
        <v>일반암 진단</v>
      </c>
      <c r="C15" s="375"/>
      <c r="D15" s="286" t="str">
        <f>'리모델링 후(보장)'!D21</f>
        <v>5,000만원</v>
      </c>
      <c r="E15" s="240"/>
      <c r="F15" s="374" t="str">
        <f>'리모델링 후(보장)'!B27</f>
        <v>뇌혈관질환 진단</v>
      </c>
      <c r="G15" s="375"/>
      <c r="H15" s="270" t="str">
        <f>'리모델링 후(보장)'!D27</f>
        <v>1,000만원</v>
      </c>
      <c r="I15" s="240"/>
      <c r="J15" s="374" t="str">
        <f>'리모델링 후(보장)'!B33</f>
        <v>심혈관질환 진단</v>
      </c>
      <c r="K15" s="375"/>
      <c r="L15" s="270" t="str">
        <f>'리모델링 후(보장)'!D33</f>
        <v>1,000만원</v>
      </c>
      <c r="M15" s="1"/>
    </row>
    <row r="16" spans="1:18" ht="25.05" customHeight="1" x14ac:dyDescent="0.6">
      <c r="B16" s="536" t="str">
        <f>'리모델링 후(보장)'!B22</f>
        <v>유사암 진단</v>
      </c>
      <c r="C16" s="376"/>
      <c r="D16" s="287" t="str">
        <f>'리모델링 후(보장)'!D22</f>
        <v>1,000만원</v>
      </c>
      <c r="E16" s="240"/>
      <c r="F16" s="536" t="str">
        <f>'리모델링 후(보장)'!B28</f>
        <v>뇌졸증 진단</v>
      </c>
      <c r="G16" s="376"/>
      <c r="H16" s="263" t="str">
        <f>'리모델링 후(보장)'!D28</f>
        <v>1,000만원</v>
      </c>
      <c r="I16" s="240"/>
      <c r="J16" s="374" t="str">
        <f>'리모델링 후(보장)'!B34</f>
        <v>허혈성심장 진단</v>
      </c>
      <c r="K16" s="375"/>
      <c r="L16" s="263" t="str">
        <f>'리모델링 후(보장)'!D34</f>
        <v>1,000만원</v>
      </c>
      <c r="M16" s="1"/>
    </row>
    <row r="17" spans="2:13" ht="25.05" customHeight="1" x14ac:dyDescent="0.6">
      <c r="B17" s="536" t="str">
        <f>'리모델링 후(보장)'!B23</f>
        <v>암 주요 치료비</v>
      </c>
      <c r="C17" s="376"/>
      <c r="D17" s="287" t="str">
        <f>'리모델링 후(보장)'!D23</f>
        <v>1,000만원</v>
      </c>
      <c r="E17" s="240"/>
      <c r="F17" s="536" t="str">
        <f>'리모델링 후(보장)'!B29</f>
        <v>뇌출혈 진단</v>
      </c>
      <c r="G17" s="376"/>
      <c r="H17" s="263" t="str">
        <f>'리모델링 후(보장)'!D29</f>
        <v/>
      </c>
      <c r="I17" s="240"/>
      <c r="J17" s="374" t="str">
        <f>'리모델링 후(보장)'!B35</f>
        <v>급성심근경색 진단</v>
      </c>
      <c r="K17" s="375"/>
      <c r="L17" s="263" t="str">
        <f>'리모델링 후(보장)'!D35</f>
        <v/>
      </c>
      <c r="M17" s="1"/>
    </row>
    <row r="18" spans="2:13" ht="25.05" customHeight="1" x14ac:dyDescent="0.6">
      <c r="B18" s="536" t="str">
        <f>'리모델링 후(보장)'!B24</f>
        <v>중입자 치료비</v>
      </c>
      <c r="C18" s="376"/>
      <c r="D18" s="263" t="str">
        <f>'리모델링 후(보장)'!D24</f>
        <v>5,000만원</v>
      </c>
      <c r="E18" s="240"/>
      <c r="F18" s="536" t="str">
        <f>'리모델링 후(보장)'!B30</f>
        <v>혈전용해치료비</v>
      </c>
      <c r="G18" s="376"/>
      <c r="H18" s="263" t="str">
        <f>'리모델링 후(보장)'!D30</f>
        <v/>
      </c>
      <c r="I18" s="240"/>
      <c r="J18" s="374" t="str">
        <f>'리모델링 후(보장)'!B36</f>
        <v>혈전용해치료비</v>
      </c>
      <c r="K18" s="375"/>
      <c r="L18" s="263" t="str">
        <f>'리모델링 후(보장)'!D36</f>
        <v/>
      </c>
      <c r="M18" s="1"/>
    </row>
    <row r="19" spans="2:13" ht="25.05" customHeight="1" x14ac:dyDescent="0.6">
      <c r="B19" s="536" t="str">
        <f>'리모델링 후(보장)'!B25</f>
        <v>항암 방사선 치료비</v>
      </c>
      <c r="C19" s="376"/>
      <c r="D19" s="289" t="str">
        <f>'리모델링 후(보장)'!D25</f>
        <v/>
      </c>
      <c r="E19" s="240"/>
      <c r="F19" s="536" t="str">
        <f>'리모델링 후(보장)'!B31</f>
        <v>뇌혈관 수술비</v>
      </c>
      <c r="G19" s="376"/>
      <c r="H19" s="263" t="str">
        <f>'리모델링 후(보장)'!D31</f>
        <v/>
      </c>
      <c r="I19" s="240"/>
      <c r="J19" s="374" t="str">
        <f>'리모델링 후(보장)'!B37</f>
        <v>허혈성심장 수술비</v>
      </c>
      <c r="K19" s="375"/>
      <c r="L19" s="263" t="str">
        <f>'리모델링 후(보장)'!D37</f>
        <v/>
      </c>
      <c r="M19" s="1"/>
    </row>
    <row r="20" spans="2:13" ht="25.05" customHeight="1" x14ac:dyDescent="0.6">
      <c r="B20" s="537" t="str">
        <f>'리모델링 후(보장)'!B26</f>
        <v>항암 약물 치료비</v>
      </c>
      <c r="C20" s="369"/>
      <c r="D20" s="268" t="str">
        <f>'리모델링 후(보장)'!D26</f>
        <v/>
      </c>
      <c r="E20" s="240"/>
      <c r="F20" s="537" t="str">
        <f>'리모델링 후(보장)'!B32</f>
        <v>2대 주요 치료비</v>
      </c>
      <c r="G20" s="369"/>
      <c r="H20" s="268" t="str">
        <f>'리모델링 후(보장)'!D32</f>
        <v>2,000만원</v>
      </c>
      <c r="I20" s="240"/>
      <c r="J20" s="374" t="str">
        <f>'리모델링 후(보장)'!B38</f>
        <v>2대 주요 치료비</v>
      </c>
      <c r="K20" s="375"/>
      <c r="L20" s="268" t="str">
        <f>'리모델링 후(보장)'!D38</f>
        <v>2,000만원</v>
      </c>
      <c r="M20" s="1"/>
    </row>
    <row r="21" spans="2:13" ht="17" customHeight="1" x14ac:dyDescent="0.6">
      <c r="B21" s="83"/>
      <c r="C21" s="240"/>
      <c r="D21" s="240"/>
      <c r="E21" s="240"/>
      <c r="F21" s="83"/>
      <c r="G21" s="240"/>
      <c r="H21" s="240"/>
      <c r="I21" s="240"/>
      <c r="J21" s="368"/>
      <c r="K21" s="368"/>
      <c r="L21" s="240"/>
      <c r="M21" s="1"/>
    </row>
    <row r="22" spans="2:13" ht="17" customHeight="1" x14ac:dyDescent="0.6">
      <c r="B22" s="83"/>
      <c r="C22" s="240"/>
      <c r="D22" s="240"/>
      <c r="E22" s="240"/>
      <c r="F22" s="83"/>
      <c r="G22" s="240"/>
      <c r="H22" s="240"/>
      <c r="I22" s="240"/>
      <c r="J22" s="83"/>
      <c r="K22" s="240"/>
      <c r="L22" s="240"/>
      <c r="M22" s="1"/>
    </row>
    <row r="23" spans="2:13" ht="25.05" customHeight="1" x14ac:dyDescent="0.6">
      <c r="B23" s="381" t="s">
        <v>32</v>
      </c>
      <c r="C23" s="382"/>
      <c r="D23" s="383"/>
      <c r="E23" s="244"/>
      <c r="F23" s="381" t="s">
        <v>37</v>
      </c>
      <c r="G23" s="382"/>
      <c r="H23" s="383"/>
      <c r="I23" s="244"/>
      <c r="J23" s="381" t="s">
        <v>405</v>
      </c>
      <c r="K23" s="382"/>
      <c r="L23" s="383"/>
      <c r="M23" s="1"/>
    </row>
    <row r="24" spans="2:13" ht="25.05" customHeight="1" x14ac:dyDescent="0.6">
      <c r="B24" s="374" t="str">
        <f>'리모델링 후(보장)'!B39</f>
        <v>질병 수술비</v>
      </c>
      <c r="C24" s="375"/>
      <c r="D24" s="286" t="str">
        <f>'리모델링 후(보장)'!D39</f>
        <v>100만원</v>
      </c>
      <c r="E24" s="244"/>
      <c r="F24" s="374" t="str">
        <f>'리모델링 후(보장)'!B44</f>
        <v>질병 입원</v>
      </c>
      <c r="G24" s="375"/>
      <c r="H24" s="286" t="str">
        <f>'리모델링 후(보장)'!D44</f>
        <v/>
      </c>
      <c r="I24" s="244"/>
      <c r="J24" s="374" t="str">
        <f>'리모델링 후(보장)'!B50</f>
        <v>깁스</v>
      </c>
      <c r="K24" s="375"/>
      <c r="L24" s="286" t="str">
        <f>'리모델링 후(보장)'!D50</f>
        <v>50만원</v>
      </c>
      <c r="M24" s="1"/>
    </row>
    <row r="25" spans="2:13" ht="25.05" customHeight="1" x14ac:dyDescent="0.6">
      <c r="B25" s="374" t="str">
        <f>'리모델링 후(보장)'!B40</f>
        <v>질병 종 수술비</v>
      </c>
      <c r="C25" s="375"/>
      <c r="D25" s="286" t="str">
        <f>'리모델링 후(보장)'!D40</f>
        <v>직접입력</v>
      </c>
      <c r="E25" s="244"/>
      <c r="F25" s="374" t="str">
        <f>'리모델링 후(보장)'!B45</f>
        <v>상해 입원</v>
      </c>
      <c r="G25" s="375"/>
      <c r="H25" s="287" t="str">
        <f>'리모델링 후(보장)'!D45</f>
        <v/>
      </c>
      <c r="I25" s="244"/>
      <c r="J25" s="374" t="str">
        <f>'리모델링 후(보장)'!B51</f>
        <v>골절진단</v>
      </c>
      <c r="K25" s="375"/>
      <c r="L25" s="287" t="str">
        <f>'리모델링 후(보장)'!D51</f>
        <v>50만원</v>
      </c>
      <c r="M25" s="1"/>
    </row>
    <row r="26" spans="2:13" ht="25.05" customHeight="1" x14ac:dyDescent="0.6">
      <c r="B26" s="374" t="str">
        <f>'리모델링 후(보장)'!B41</f>
        <v>N대 수술비</v>
      </c>
      <c r="C26" s="375"/>
      <c r="D26" s="286" t="str">
        <f>'리모델링 후(보장)'!D41</f>
        <v>직접입력</v>
      </c>
      <c r="E26" s="85"/>
      <c r="F26" s="374" t="str">
        <f>'리모델링 후(보장)'!B46</f>
        <v>질병 간호간병통합</v>
      </c>
      <c r="G26" s="375"/>
      <c r="H26" s="287" t="str">
        <f>'리모델링 후(보장)'!D46</f>
        <v>7만원</v>
      </c>
      <c r="I26" s="85"/>
      <c r="J26" s="374" t="str">
        <f>'리모델링 후(보장)'!B52</f>
        <v>5대골절진단</v>
      </c>
      <c r="K26" s="375"/>
      <c r="L26" s="287" t="str">
        <f>'리모델링 후(보장)'!D52</f>
        <v>100만원</v>
      </c>
    </row>
    <row r="27" spans="2:13" ht="25.05" customHeight="1" x14ac:dyDescent="0.6">
      <c r="B27" s="374" t="str">
        <f>'리모델링 후(보장)'!B42</f>
        <v>상해 수술비</v>
      </c>
      <c r="C27" s="375"/>
      <c r="D27" s="286" t="str">
        <f>'리모델링 후(보장)'!D42</f>
        <v>100만원</v>
      </c>
      <c r="E27" s="85"/>
      <c r="F27" s="374" t="str">
        <f>'리모델링 후(보장)'!B47</f>
        <v>상해 간호간병통합</v>
      </c>
      <c r="G27" s="375"/>
      <c r="H27" s="263" t="str">
        <f>'리모델링 후(보장)'!D47</f>
        <v>7만원</v>
      </c>
      <c r="I27" s="85"/>
      <c r="J27" s="374" t="str">
        <f>'리모델링 후(보장)'!B53</f>
        <v>화상진단</v>
      </c>
      <c r="K27" s="375"/>
      <c r="L27" s="263" t="str">
        <f>'리모델링 후(보장)'!D53</f>
        <v>50만원</v>
      </c>
    </row>
    <row r="28" spans="2:13" ht="25.05" customHeight="1" x14ac:dyDescent="0.6">
      <c r="B28" s="374" t="str">
        <f>'리모델링 후(보장)'!B43</f>
        <v>상해 종 수술비</v>
      </c>
      <c r="C28" s="375"/>
      <c r="D28" s="287" t="str">
        <f>'리모델링 후(보장)'!D43</f>
        <v>직접입력</v>
      </c>
      <c r="E28" s="85"/>
      <c r="F28" s="374" t="str">
        <f>'리모델링 후(보장)'!B48</f>
        <v>상급종합병원</v>
      </c>
      <c r="G28" s="375"/>
      <c r="H28" s="289" t="str">
        <f>'리모델링 후(보장)'!D48</f>
        <v>40만원</v>
      </c>
      <c r="I28" s="85"/>
      <c r="J28" s="384"/>
      <c r="K28" s="385"/>
      <c r="L28" s="289"/>
    </row>
    <row r="29" spans="2:13" ht="25.05" customHeight="1" x14ac:dyDescent="0.6">
      <c r="B29" s="391"/>
      <c r="C29" s="392"/>
      <c r="D29" s="275"/>
      <c r="E29" s="85"/>
      <c r="F29" s="369" t="str">
        <f>'리모델링 후(보장)'!B49</f>
        <v>종합병원</v>
      </c>
      <c r="G29" s="370"/>
      <c r="H29" s="288" t="str">
        <f>'리모델링 후(보장)'!D49</f>
        <v>20만원</v>
      </c>
      <c r="I29" s="85"/>
      <c r="J29" s="377"/>
      <c r="K29" s="378"/>
      <c r="L29" s="269"/>
    </row>
    <row r="30" spans="2:13" ht="17" customHeight="1" x14ac:dyDescent="0.6">
      <c r="B30" s="83"/>
      <c r="C30" s="83"/>
      <c r="D30" s="85"/>
      <c r="E30" s="85"/>
      <c r="F30" s="276"/>
      <c r="G30" s="276"/>
      <c r="H30" s="85"/>
      <c r="I30" s="85"/>
      <c r="J30" s="83"/>
      <c r="K30" s="83"/>
      <c r="L30" s="85"/>
    </row>
    <row r="31" spans="2:13" ht="17" customHeight="1" x14ac:dyDescent="0.6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</row>
    <row r="32" spans="2:13" ht="25.05" customHeight="1" x14ac:dyDescent="0.6">
      <c r="B32" s="371" t="s">
        <v>50</v>
      </c>
      <c r="C32" s="372"/>
      <c r="D32" s="373"/>
      <c r="E32" s="85"/>
      <c r="F32" s="371" t="s">
        <v>406</v>
      </c>
      <c r="G32" s="372"/>
      <c r="H32" s="373"/>
      <c r="I32" s="85"/>
      <c r="J32" s="371" t="s">
        <v>55</v>
      </c>
      <c r="K32" s="372"/>
      <c r="L32" s="373"/>
    </row>
    <row r="33" spans="1:17" ht="25.05" customHeight="1" x14ac:dyDescent="0.6">
      <c r="B33" s="374" t="str">
        <f>'리모델링 후(보장)'!B54</f>
        <v>벌금(대인)</v>
      </c>
      <c r="C33" s="375"/>
      <c r="D33" s="286" t="str">
        <f>'리모델링 후(보장)'!D54</f>
        <v/>
      </c>
      <c r="E33" s="85"/>
      <c r="F33" s="374" t="str">
        <f>'리모델링 후(보장)'!B60</f>
        <v>질병입원 의료비</v>
      </c>
      <c r="G33" s="375"/>
      <c r="H33" s="286" t="str">
        <f>'리모델링 후(보장)'!D60</f>
        <v/>
      </c>
      <c r="I33" s="85"/>
      <c r="J33" s="374" t="str">
        <f>'리모델링 후(보장)'!B59</f>
        <v>일상생활배상책임</v>
      </c>
      <c r="K33" s="375"/>
      <c r="L33" s="286" t="str">
        <f>'리모델링 후(보장)'!D59</f>
        <v/>
      </c>
    </row>
    <row r="34" spans="1:17" ht="25.05" customHeight="1" x14ac:dyDescent="0.6">
      <c r="B34" s="536" t="str">
        <f>'리모델링 후(보장)'!B55</f>
        <v>벌금(대물)</v>
      </c>
      <c r="C34" s="376"/>
      <c r="D34" s="287" t="str">
        <f>'리모델링 후(보장)'!D55</f>
        <v/>
      </c>
      <c r="E34" s="85"/>
      <c r="F34" s="536" t="str">
        <f>'리모델링 후(보장)'!B61</f>
        <v>질병통원 의료비</v>
      </c>
      <c r="G34" s="376"/>
      <c r="H34" s="287" t="str">
        <f>'리모델링 후(보장)'!D61</f>
        <v/>
      </c>
      <c r="I34" s="85"/>
      <c r="J34" s="379"/>
      <c r="K34" s="380"/>
      <c r="L34" s="287"/>
    </row>
    <row r="35" spans="1:17" ht="25.05" customHeight="1" x14ac:dyDescent="0.6">
      <c r="B35" s="536" t="str">
        <f>'리모델링 후(보장)'!B56</f>
        <v>교통사고처리지원금</v>
      </c>
      <c r="C35" s="376"/>
      <c r="D35" s="287" t="str">
        <f>'리모델링 후(보장)'!D56</f>
        <v/>
      </c>
      <c r="E35" s="85"/>
      <c r="F35" s="536" t="str">
        <f>'리모델링 후(보장)'!B62</f>
        <v>상해입원 의료비</v>
      </c>
      <c r="G35" s="376"/>
      <c r="H35" s="287" t="str">
        <f>'리모델링 후(보장)'!D62</f>
        <v/>
      </c>
      <c r="I35" s="85"/>
      <c r="J35" s="379"/>
      <c r="K35" s="380"/>
      <c r="L35" s="287"/>
      <c r="N35" s="325"/>
      <c r="O35" s="325"/>
      <c r="P35" s="325"/>
      <c r="Q35" s="325"/>
    </row>
    <row r="36" spans="1:17" ht="25.05" customHeight="1" x14ac:dyDescent="0.85">
      <c r="B36" s="536" t="str">
        <f>'리모델링 후(보장)'!B57</f>
        <v>변호사선임비용</v>
      </c>
      <c r="C36" s="376"/>
      <c r="D36" s="263" t="str">
        <f>'리모델링 후(보장)'!D57</f>
        <v/>
      </c>
      <c r="E36" s="241"/>
      <c r="F36" s="536" t="str">
        <f>'리모델링 후(보장)'!B63</f>
        <v>상해통원 의료비</v>
      </c>
      <c r="G36" s="376"/>
      <c r="H36" s="263" t="str">
        <f>'리모델링 후(보장)'!D63</f>
        <v/>
      </c>
      <c r="I36" s="241"/>
      <c r="J36" s="364"/>
      <c r="K36" s="365"/>
      <c r="L36" s="263"/>
      <c r="N36" s="325"/>
      <c r="O36" s="325"/>
      <c r="P36" s="325"/>
      <c r="Q36" s="325"/>
    </row>
    <row r="37" spans="1:17" ht="25.05" customHeight="1" x14ac:dyDescent="0.85">
      <c r="B37" s="537" t="str">
        <f>'리모델링 후(보장)'!B58</f>
        <v>자동차사고부상치료비</v>
      </c>
      <c r="C37" s="369"/>
      <c r="D37" s="288" t="str">
        <f>'리모델링 후(보장)'!D58</f>
        <v/>
      </c>
      <c r="E37" s="242"/>
      <c r="F37" s="366"/>
      <c r="G37" s="367"/>
      <c r="H37" s="288"/>
      <c r="I37" s="242"/>
      <c r="J37" s="366"/>
      <c r="K37" s="367"/>
      <c r="L37" s="288"/>
      <c r="N37" s="325"/>
      <c r="O37" s="325"/>
      <c r="P37" s="325"/>
      <c r="Q37" s="325"/>
    </row>
    <row r="38" spans="1:17" ht="38.35" customHeight="1" x14ac:dyDescent="0.9">
      <c r="B38" s="85"/>
      <c r="C38" s="267"/>
      <c r="D38" s="243"/>
      <c r="E38" s="243"/>
      <c r="F38" s="85"/>
      <c r="G38" s="258"/>
      <c r="H38" s="243"/>
      <c r="I38" s="243"/>
      <c r="J38" s="85"/>
      <c r="K38" s="258"/>
      <c r="L38" s="243"/>
      <c r="N38" s="325"/>
      <c r="O38" s="325"/>
      <c r="P38" s="325"/>
      <c r="Q38" s="325"/>
    </row>
    <row r="39" spans="1:17" ht="15.85" customHeight="1" x14ac:dyDescent="0.6">
      <c r="A39" s="89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7"/>
      <c r="O39" s="89"/>
    </row>
    <row r="40" spans="1:17" ht="30" customHeight="1" x14ac:dyDescent="0.6">
      <c r="A40" s="89"/>
      <c r="B40" s="89"/>
      <c r="C40" s="89"/>
      <c r="D40" s="363" t="str">
        <f>표지!C3</f>
        <v>홍길동</v>
      </c>
      <c r="E40" s="363"/>
      <c r="F40" s="361" t="s">
        <v>407</v>
      </c>
      <c r="G40" s="361"/>
      <c r="H40" s="361"/>
      <c r="I40" s="557">
        <f>'리모델링 후(보장)'!A5</f>
        <v>100000</v>
      </c>
      <c r="J40" s="557"/>
      <c r="K40" s="274"/>
      <c r="L40" s="84"/>
      <c r="M40" s="89"/>
    </row>
    <row r="41" spans="1:17" ht="30" customHeight="1" x14ac:dyDescent="0.6">
      <c r="A41" s="89"/>
      <c r="B41" s="84"/>
      <c r="C41" s="89"/>
      <c r="D41" s="556"/>
      <c r="E41" s="361" t="s">
        <v>408</v>
      </c>
      <c r="F41" s="361"/>
      <c r="G41" s="556"/>
      <c r="H41" s="362">
        <f ca="1">SUM('리모델링 후(보장)'!E6:CA6)</f>
        <v>23700000</v>
      </c>
      <c r="I41" s="362"/>
      <c r="J41" s="362"/>
      <c r="K41" s="84"/>
      <c r="L41" s="84"/>
      <c r="M41" s="89"/>
    </row>
    <row r="42" spans="1:17" ht="15.85" customHeight="1" x14ac:dyDescent="0.6">
      <c r="A42" s="89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7"/>
      <c r="O42" s="89"/>
    </row>
    <row r="43" spans="1:17" ht="28.05" customHeight="1" x14ac:dyDescent="0.6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spans="1:17" ht="28.05" customHeight="1" x14ac:dyDescent="0.6"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spans="1:17" ht="28.05" customHeight="1" x14ac:dyDescent="0.6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7" ht="28.05" customHeight="1" x14ac:dyDescent="0.6"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7" ht="28.05" customHeight="1" x14ac:dyDescent="0.6"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</row>
    <row r="48" spans="1:17" ht="28.05" customHeight="1" x14ac:dyDescent="0.6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</row>
    <row r="49" spans="2:12" ht="28.05" customHeight="1" x14ac:dyDescent="0.6"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</row>
    <row r="50" spans="2:12" ht="28.05" customHeight="1" x14ac:dyDescent="0.6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</row>
    <row r="51" spans="2:12" ht="28.05" customHeight="1" x14ac:dyDescent="0.6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</row>
    <row r="52" spans="2:12" ht="28.05" customHeight="1" x14ac:dyDescent="0.6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</row>
    <row r="53" spans="2:12" ht="28.05" customHeight="1" x14ac:dyDescent="0.6"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  <row r="54" spans="2:12" ht="28.05" customHeight="1" x14ac:dyDescent="0.6"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</row>
    <row r="55" spans="2:12" ht="28.05" customHeight="1" x14ac:dyDescent="0.6"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</row>
    <row r="56" spans="2:12" ht="28.05" customHeight="1" x14ac:dyDescent="0.6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</row>
    <row r="57" spans="2:12" ht="28.05" customHeight="1" x14ac:dyDescent="0.6"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</row>
    <row r="58" spans="2:12" ht="28.05" customHeight="1" x14ac:dyDescent="0.6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</row>
    <row r="59" spans="2:12" ht="28.05" customHeight="1" x14ac:dyDescent="0.6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</row>
    <row r="60" spans="2:12" ht="28.05" customHeight="1" x14ac:dyDescent="0.6"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</row>
    <row r="61" spans="2:12" ht="28.05" customHeight="1" x14ac:dyDescent="0.6"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</row>
    <row r="62" spans="2:12" ht="28.05" customHeight="1" x14ac:dyDescent="0.6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2:12" ht="28.05" customHeight="1" x14ac:dyDescent="0.6"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</row>
    <row r="64" spans="2:12" ht="28.05" customHeight="1" x14ac:dyDescent="0.6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</row>
    <row r="65" spans="2:12" ht="28.05" customHeight="1" x14ac:dyDescent="0.6"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</row>
    <row r="66" spans="2:12" ht="28.05" customHeight="1" x14ac:dyDescent="0.6"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</row>
    <row r="67" spans="2:12" ht="28.05" customHeight="1" x14ac:dyDescent="0.6"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</row>
    <row r="68" spans="2:12" ht="28.05" customHeight="1" x14ac:dyDescent="0.6"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</row>
    <row r="69" spans="2:12" ht="28.05" customHeight="1" x14ac:dyDescent="0.6"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</row>
    <row r="70" spans="2:12" ht="28.05" customHeight="1" x14ac:dyDescent="0.6"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</row>
    <row r="71" spans="2:12" ht="28.05" customHeight="1" x14ac:dyDescent="0.6"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</row>
    <row r="72" spans="2:12" ht="28.05" customHeight="1" x14ac:dyDescent="0.6"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</row>
    <row r="73" spans="2:12" ht="28.05" customHeight="1" x14ac:dyDescent="0.6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</row>
    <row r="74" spans="2:12" ht="28.05" customHeight="1" x14ac:dyDescent="0.6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</row>
    <row r="75" spans="2:12" ht="28.05" customHeight="1" x14ac:dyDescent="0.6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</row>
    <row r="76" spans="2:12" ht="28.05" customHeight="1" x14ac:dyDescent="0.6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</row>
    <row r="77" spans="2:12" ht="28.05" customHeight="1" x14ac:dyDescent="0.6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</row>
    <row r="78" spans="2:12" ht="28.05" customHeight="1" x14ac:dyDescent="0.6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2:12" ht="28.05" customHeight="1" x14ac:dyDescent="0.6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</row>
    <row r="80" spans="2:12" ht="28.05" customHeight="1" x14ac:dyDescent="0.6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</row>
    <row r="81" spans="2:12" x14ac:dyDescent="0.6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</row>
  </sheetData>
  <mergeCells count="88">
    <mergeCell ref="E41:F41"/>
    <mergeCell ref="F40:H40"/>
    <mergeCell ref="I40:J40"/>
    <mergeCell ref="H41:J41"/>
    <mergeCell ref="D40:E40"/>
    <mergeCell ref="N35:Q38"/>
    <mergeCell ref="B36:C36"/>
    <mergeCell ref="F36:G36"/>
    <mergeCell ref="J36:K36"/>
    <mergeCell ref="B37:C37"/>
    <mergeCell ref="F37:G37"/>
    <mergeCell ref="J37:K37"/>
    <mergeCell ref="B34:C34"/>
    <mergeCell ref="F34:G34"/>
    <mergeCell ref="J34:K34"/>
    <mergeCell ref="B35:C35"/>
    <mergeCell ref="F35:G35"/>
    <mergeCell ref="J35:K35"/>
    <mergeCell ref="B32:D32"/>
    <mergeCell ref="F32:H32"/>
    <mergeCell ref="J32:L32"/>
    <mergeCell ref="B33:C33"/>
    <mergeCell ref="F33:G33"/>
    <mergeCell ref="J33:K33"/>
    <mergeCell ref="B28:C28"/>
    <mergeCell ref="F28:G28"/>
    <mergeCell ref="J28:K28"/>
    <mergeCell ref="B29:C29"/>
    <mergeCell ref="F29:G29"/>
    <mergeCell ref="J29:K29"/>
    <mergeCell ref="B26:C26"/>
    <mergeCell ref="F26:G26"/>
    <mergeCell ref="J26:K26"/>
    <mergeCell ref="B27:C27"/>
    <mergeCell ref="F27:G27"/>
    <mergeCell ref="J27:K27"/>
    <mergeCell ref="B24:C24"/>
    <mergeCell ref="F24:G24"/>
    <mergeCell ref="J24:K24"/>
    <mergeCell ref="B25:C25"/>
    <mergeCell ref="F25:G25"/>
    <mergeCell ref="J25:K25"/>
    <mergeCell ref="B20:C20"/>
    <mergeCell ref="F20:G20"/>
    <mergeCell ref="J20:K20"/>
    <mergeCell ref="J21:K21"/>
    <mergeCell ref="B23:D23"/>
    <mergeCell ref="F23:H23"/>
    <mergeCell ref="J23:L23"/>
    <mergeCell ref="B18:C18"/>
    <mergeCell ref="F18:G18"/>
    <mergeCell ref="J18:K18"/>
    <mergeCell ref="B19:C19"/>
    <mergeCell ref="F19:G19"/>
    <mergeCell ref="J19:K19"/>
    <mergeCell ref="B16:C16"/>
    <mergeCell ref="F16:G16"/>
    <mergeCell ref="J16:K16"/>
    <mergeCell ref="B17:C17"/>
    <mergeCell ref="F17:G17"/>
    <mergeCell ref="J17:K17"/>
    <mergeCell ref="B14:D14"/>
    <mergeCell ref="F14:H14"/>
    <mergeCell ref="J14:L14"/>
    <mergeCell ref="B15:C15"/>
    <mergeCell ref="F15:G15"/>
    <mergeCell ref="J15:K15"/>
    <mergeCell ref="B10:C10"/>
    <mergeCell ref="F10:G10"/>
    <mergeCell ref="J10:K10"/>
    <mergeCell ref="B11:C11"/>
    <mergeCell ref="F11:G11"/>
    <mergeCell ref="J11:K11"/>
    <mergeCell ref="B8:C8"/>
    <mergeCell ref="F8:G8"/>
    <mergeCell ref="J8:K8"/>
    <mergeCell ref="B9:C9"/>
    <mergeCell ref="F9:G9"/>
    <mergeCell ref="J9:K9"/>
    <mergeCell ref="G1:J2"/>
    <mergeCell ref="B6:D6"/>
    <mergeCell ref="F6:H6"/>
    <mergeCell ref="J6:L6"/>
    <mergeCell ref="N6:P7"/>
    <mergeCell ref="B7:C7"/>
    <mergeCell ref="F7:G7"/>
    <mergeCell ref="J7:K7"/>
    <mergeCell ref="E1:F3"/>
  </mergeCells>
  <phoneticPr fontId="3" type="noConversion"/>
  <hyperlinks>
    <hyperlink ref="O2" location="'리모델링 후(보장)'!Print_Area" display="'리모델링 후(보장)'!Print_Area" xr:uid="{97515702-E561-41D5-9243-50556C709A18}"/>
  </hyperlinks>
  <printOptions horizontalCentered="1"/>
  <pageMargins left="0" right="0" top="0.39370078740157483" bottom="0" header="0" footer="0"/>
  <pageSetup paperSize="9" scale="8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0B62-7225-486E-9DE3-1CE7F36CDABC}">
  <dimension ref="A1:AD45"/>
  <sheetViews>
    <sheetView showGridLines="0" view="pageBreakPreview" topLeftCell="B1" zoomScale="85" zoomScaleNormal="85" zoomScaleSheetLayoutView="85" workbookViewId="0">
      <selection activeCell="Q1" sqref="Q1"/>
    </sheetView>
  </sheetViews>
  <sheetFormatPr defaultRowHeight="16.899999999999999" x14ac:dyDescent="0.6"/>
  <cols>
    <col min="1" max="1" width="2.5625" customWidth="1"/>
    <col min="2" max="2" width="16.25" customWidth="1"/>
    <col min="3" max="3" width="5.625" customWidth="1"/>
    <col min="4" max="4" width="6.5" customWidth="1"/>
    <col min="5" max="5" width="4.5625" customWidth="1"/>
    <col min="6" max="6" width="6.625" customWidth="1"/>
    <col min="7" max="7" width="13.5625" customWidth="1"/>
    <col min="8" max="8" width="1" customWidth="1"/>
    <col min="9" max="9" width="5.5625" customWidth="1"/>
    <col min="10" max="10" width="5.625" customWidth="1"/>
    <col min="11" max="11" width="6.5" customWidth="1"/>
    <col min="12" max="12" width="4.5625" customWidth="1"/>
    <col min="13" max="13" width="6.625" customWidth="1"/>
    <col min="14" max="14" width="13.5625" customWidth="1"/>
    <col min="15" max="15" width="1" customWidth="1"/>
    <col min="16" max="16" width="2.5625" customWidth="1"/>
  </cols>
  <sheetData>
    <row r="1" spans="1:24" ht="24" customHeight="1" thickTop="1" x14ac:dyDescent="0.7">
      <c r="A1" s="80"/>
      <c r="B1" s="163"/>
      <c r="C1" s="164"/>
      <c r="D1" s="412" t="str">
        <f>표지!C3</f>
        <v>홍길동</v>
      </c>
      <c r="E1" s="412"/>
      <c r="F1" s="412"/>
      <c r="G1" s="452" t="s">
        <v>420</v>
      </c>
      <c r="H1" s="452"/>
      <c r="I1" s="452"/>
      <c r="J1" s="452"/>
      <c r="K1" s="452"/>
      <c r="L1" s="452"/>
      <c r="M1" s="452"/>
      <c r="N1" s="165"/>
      <c r="O1" s="166"/>
      <c r="P1" s="148"/>
      <c r="R1" s="550" t="s">
        <v>425</v>
      </c>
      <c r="S1" s="551"/>
      <c r="T1" s="551"/>
      <c r="U1" s="550" t="s">
        <v>426</v>
      </c>
      <c r="V1" s="551"/>
      <c r="W1" s="551"/>
    </row>
    <row r="2" spans="1:24" ht="16.899999999999999" customHeight="1" x14ac:dyDescent="1">
      <c r="A2" s="80"/>
      <c r="B2" s="167"/>
      <c r="C2" s="100"/>
      <c r="D2" s="390"/>
      <c r="E2" s="390"/>
      <c r="F2" s="390"/>
      <c r="G2" s="387"/>
      <c r="H2" s="387"/>
      <c r="I2" s="387"/>
      <c r="J2" s="387"/>
      <c r="K2" s="387"/>
      <c r="L2" s="387"/>
      <c r="M2" s="387"/>
      <c r="N2" s="101"/>
      <c r="O2" s="168"/>
      <c r="P2" s="148"/>
      <c r="R2" s="549" t="s">
        <v>424</v>
      </c>
      <c r="S2" s="285"/>
      <c r="T2" s="285"/>
      <c r="U2" s="549" t="s">
        <v>423</v>
      </c>
      <c r="V2" s="285"/>
      <c r="W2" s="285"/>
      <c r="X2" s="285"/>
    </row>
    <row r="3" spans="1:24" ht="1.9" customHeight="1" x14ac:dyDescent="1">
      <c r="A3" s="80"/>
      <c r="B3" s="167"/>
      <c r="C3" s="100"/>
      <c r="D3" s="100"/>
      <c r="E3" s="100"/>
      <c r="F3" s="100"/>
      <c r="G3" s="100"/>
      <c r="H3" s="82"/>
      <c r="I3" s="81"/>
      <c r="J3" s="81"/>
      <c r="K3" s="81"/>
      <c r="L3" s="81"/>
      <c r="M3" s="81"/>
      <c r="N3" s="81"/>
      <c r="O3" s="169"/>
      <c r="P3" s="80"/>
    </row>
    <row r="4" spans="1:24" ht="10.15" customHeight="1" thickBot="1" x14ac:dyDescent="0.65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2"/>
    </row>
    <row r="5" spans="1:24" ht="10.050000000000001" customHeight="1" thickTop="1" x14ac:dyDescent="0.6"/>
    <row r="6" spans="1:24" ht="22.5" customHeight="1" x14ac:dyDescent="0.6">
      <c r="C6" s="519" t="s">
        <v>419</v>
      </c>
      <c r="D6" s="520"/>
      <c r="E6" s="520"/>
      <c r="F6" s="520"/>
      <c r="G6" s="520"/>
      <c r="H6" s="521"/>
      <c r="J6" s="510" t="s">
        <v>418</v>
      </c>
      <c r="K6" s="511"/>
      <c r="L6" s="511"/>
      <c r="M6" s="511"/>
      <c r="N6" s="511"/>
      <c r="O6" s="512"/>
    </row>
    <row r="7" spans="1:24" ht="2.25" customHeight="1" x14ac:dyDescent="0.6">
      <c r="C7" s="522"/>
      <c r="D7" s="523"/>
      <c r="E7" s="523"/>
      <c r="F7" s="523"/>
      <c r="G7" s="523"/>
      <c r="H7" s="524"/>
      <c r="J7" s="513"/>
      <c r="K7" s="514"/>
      <c r="L7" s="514"/>
      <c r="M7" s="514"/>
      <c r="N7" s="514"/>
      <c r="O7" s="515"/>
    </row>
    <row r="8" spans="1:24" ht="22.5" customHeight="1" x14ac:dyDescent="0.6">
      <c r="B8" s="72"/>
      <c r="C8" s="525"/>
      <c r="D8" s="526"/>
      <c r="E8" s="526"/>
      <c r="F8" s="526"/>
      <c r="G8" s="526"/>
      <c r="H8" s="527"/>
      <c r="J8" s="516"/>
      <c r="K8" s="517"/>
      <c r="L8" s="517"/>
      <c r="M8" s="517"/>
      <c r="N8" s="517"/>
      <c r="O8" s="518"/>
    </row>
    <row r="9" spans="1:24" ht="5.35" customHeight="1" x14ac:dyDescent="0.6">
      <c r="A9" s="97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</row>
    <row r="10" spans="1:24" ht="25.05" customHeight="1" thickBot="1" x14ac:dyDescent="0.65">
      <c r="B10" s="429" t="s">
        <v>20</v>
      </c>
      <c r="C10" s="427" t="str">
        <f>보장분석!B21</f>
        <v>일반암 진단</v>
      </c>
      <c r="D10" s="428"/>
      <c r="E10" s="428"/>
      <c r="F10" s="428"/>
      <c r="G10" s="538" t="str">
        <f>보장분석!D21</f>
        <v>3,000만원</v>
      </c>
      <c r="H10" s="110"/>
      <c r="J10" s="441" t="str">
        <f>'리모델링 후(보장)'!B21</f>
        <v>일반암 진단</v>
      </c>
      <c r="K10" s="428"/>
      <c r="L10" s="428"/>
      <c r="M10" s="534"/>
      <c r="N10" s="538" t="str">
        <f>'리모델링 후(보장)'!D21</f>
        <v>5,000만원</v>
      </c>
      <c r="O10" s="110"/>
    </row>
    <row r="11" spans="1:24" ht="25.05" customHeight="1" thickTop="1" thickBot="1" x14ac:dyDescent="0.65">
      <c r="B11" s="430"/>
      <c r="C11" s="446" t="str">
        <f>보장분석!B22</f>
        <v>유사암 진단</v>
      </c>
      <c r="D11" s="528"/>
      <c r="E11" s="528"/>
      <c r="F11" s="529"/>
      <c r="G11" s="539" t="str">
        <f>보장분석!D22</f>
        <v>600만원</v>
      </c>
      <c r="H11" s="111"/>
      <c r="J11" s="442" t="str">
        <f>'리모델링 후(보장)'!B22</f>
        <v>유사암 진단</v>
      </c>
      <c r="K11" s="528"/>
      <c r="L11" s="528"/>
      <c r="M11" s="529"/>
      <c r="N11" s="539" t="str">
        <f>'리모델링 후(보장)'!D22</f>
        <v>1,000만원</v>
      </c>
      <c r="O11" s="111"/>
    </row>
    <row r="12" spans="1:24" ht="25.05" customHeight="1" thickTop="1" thickBot="1" x14ac:dyDescent="0.65">
      <c r="B12" s="430"/>
      <c r="C12" s="446" t="str">
        <f>보장분석!B23</f>
        <v>암 주요 치료비</v>
      </c>
      <c r="D12" s="528"/>
      <c r="E12" s="528"/>
      <c r="F12" s="529"/>
      <c r="G12" s="539" t="str">
        <f>보장분석!D23</f>
        <v/>
      </c>
      <c r="H12" s="111"/>
      <c r="J12" s="442" t="str">
        <f>'리모델링 후(보장)'!B23</f>
        <v>암 주요 치료비</v>
      </c>
      <c r="K12" s="528"/>
      <c r="L12" s="528"/>
      <c r="M12" s="529"/>
      <c r="N12" s="539" t="str">
        <f>'리모델링 후(보장)'!D23</f>
        <v>1,000만원</v>
      </c>
      <c r="O12" s="111"/>
    </row>
    <row r="13" spans="1:24" ht="25.05" customHeight="1" thickTop="1" thickBot="1" x14ac:dyDescent="0.65">
      <c r="B13" s="430"/>
      <c r="C13" s="446" t="str">
        <f>보장분석!B24</f>
        <v>중입자 치료비</v>
      </c>
      <c r="D13" s="528"/>
      <c r="E13" s="528"/>
      <c r="F13" s="529"/>
      <c r="G13" s="539" t="str">
        <f>보장분석!D24</f>
        <v/>
      </c>
      <c r="H13" s="111"/>
      <c r="J13" s="442" t="str">
        <f>'리모델링 후(보장)'!B24</f>
        <v>중입자 치료비</v>
      </c>
      <c r="K13" s="528"/>
      <c r="L13" s="528"/>
      <c r="M13" s="529"/>
      <c r="N13" s="539" t="str">
        <f>'리모델링 후(보장)'!D24</f>
        <v>5,000만원</v>
      </c>
      <c r="O13" s="111"/>
    </row>
    <row r="14" spans="1:24" ht="25.05" customHeight="1" thickTop="1" thickBot="1" x14ac:dyDescent="0.65">
      <c r="B14" s="430"/>
      <c r="C14" s="446" t="str">
        <f>보장분석!B25</f>
        <v>항암 방사선 치료비</v>
      </c>
      <c r="D14" s="528"/>
      <c r="E14" s="528"/>
      <c r="F14" s="529"/>
      <c r="G14" s="539" t="str">
        <f>보장분석!D25</f>
        <v>1억</v>
      </c>
      <c r="H14" s="111"/>
      <c r="J14" s="442" t="str">
        <f>'리모델링 후(보장)'!B25</f>
        <v>항암 방사선 치료비</v>
      </c>
      <c r="K14" s="528"/>
      <c r="L14" s="528"/>
      <c r="M14" s="529"/>
      <c r="N14" s="539" t="str">
        <f>'리모델링 후(보장)'!D25</f>
        <v/>
      </c>
      <c r="O14" s="111"/>
    </row>
    <row r="15" spans="1:24" ht="25.05" customHeight="1" thickTop="1" x14ac:dyDescent="0.6">
      <c r="B15" s="431"/>
      <c r="C15" s="450" t="str">
        <f>보장분석!B26</f>
        <v>항암 약물 치료비</v>
      </c>
      <c r="D15" s="445"/>
      <c r="E15" s="445"/>
      <c r="F15" s="530"/>
      <c r="G15" s="540" t="str">
        <f>보장분석!D26</f>
        <v>1억</v>
      </c>
      <c r="H15" s="112"/>
      <c r="J15" s="444" t="str">
        <f>'리모델링 후(보장)'!B26</f>
        <v>항암 약물 치료비</v>
      </c>
      <c r="K15" s="445"/>
      <c r="L15" s="445"/>
      <c r="M15" s="530"/>
      <c r="N15" s="540" t="str">
        <f>'리모델링 후(보장)'!D26</f>
        <v/>
      </c>
      <c r="O15" s="112"/>
    </row>
    <row r="16" spans="1:24" ht="25.05" customHeight="1" x14ac:dyDescent="0.6">
      <c r="A16" s="142"/>
      <c r="B16" s="419" t="s">
        <v>24</v>
      </c>
      <c r="C16" s="451" t="str">
        <f>보장분석!B27</f>
        <v>뇌혈관질환 진단</v>
      </c>
      <c r="D16" s="448"/>
      <c r="E16" s="448"/>
      <c r="F16" s="448"/>
      <c r="G16" s="541" t="str">
        <f>보장분석!D27</f>
        <v>1,000만원</v>
      </c>
      <c r="H16" s="128"/>
      <c r="I16" s="133"/>
      <c r="J16" s="447" t="str">
        <f>'리모델링 후(보장)'!B27</f>
        <v>뇌혈관질환 진단</v>
      </c>
      <c r="K16" s="448"/>
      <c r="L16" s="448"/>
      <c r="M16" s="535"/>
      <c r="N16" s="541" t="str">
        <f>'리모델링 후(보장)'!D27</f>
        <v>1,000만원</v>
      </c>
      <c r="O16" s="128"/>
      <c r="P16" s="132"/>
    </row>
    <row r="17" spans="1:30" ht="25.05" customHeight="1" x14ac:dyDescent="0.6">
      <c r="B17" s="414"/>
      <c r="C17" s="423" t="str">
        <f>보장분석!B28</f>
        <v>뇌졸증 진단</v>
      </c>
      <c r="D17" s="531"/>
      <c r="E17" s="531"/>
      <c r="F17" s="532"/>
      <c r="G17" s="542" t="str">
        <f>보장분석!D28</f>
        <v/>
      </c>
      <c r="H17" s="129"/>
      <c r="J17" s="432" t="str">
        <f>'리모델링 후(보장)'!B28</f>
        <v>뇌졸증 진단</v>
      </c>
      <c r="K17" s="531"/>
      <c r="L17" s="531"/>
      <c r="M17" s="532"/>
      <c r="N17" s="542" t="str">
        <f>'리모델링 후(보장)'!D28</f>
        <v>1,000만원</v>
      </c>
      <c r="O17" s="129"/>
    </row>
    <row r="18" spans="1:30" ht="25.05" customHeight="1" x14ac:dyDescent="0.6">
      <c r="B18" s="414"/>
      <c r="C18" s="423" t="str">
        <f>보장분석!B29</f>
        <v>뇌출혈 진단</v>
      </c>
      <c r="D18" s="531"/>
      <c r="E18" s="531"/>
      <c r="F18" s="532"/>
      <c r="G18" s="542" t="str">
        <f>보장분석!D29</f>
        <v>3,000만원</v>
      </c>
      <c r="H18" s="129"/>
      <c r="J18" s="432" t="str">
        <f>'리모델링 후(보장)'!B29</f>
        <v>뇌출혈 진단</v>
      </c>
      <c r="K18" s="531"/>
      <c r="L18" s="531"/>
      <c r="M18" s="532"/>
      <c r="N18" s="542" t="str">
        <f>'리모델링 후(보장)'!D29</f>
        <v/>
      </c>
      <c r="O18" s="129"/>
    </row>
    <row r="19" spans="1:30" ht="25.05" customHeight="1" x14ac:dyDescent="0.6">
      <c r="B19" s="414"/>
      <c r="C19" s="423" t="str">
        <f>보장분석!B30</f>
        <v>혈전용해치료비</v>
      </c>
      <c r="D19" s="531"/>
      <c r="E19" s="531"/>
      <c r="F19" s="532"/>
      <c r="G19" s="542" t="str">
        <f>보장분석!D30</f>
        <v/>
      </c>
      <c r="H19" s="129"/>
      <c r="J19" s="432" t="str">
        <f>'리모델링 후(보장)'!B30</f>
        <v>혈전용해치료비</v>
      </c>
      <c r="K19" s="531"/>
      <c r="L19" s="531"/>
      <c r="M19" s="532"/>
      <c r="N19" s="542" t="str">
        <f>'리모델링 후(보장)'!D30</f>
        <v/>
      </c>
      <c r="O19" s="129"/>
    </row>
    <row r="20" spans="1:30" ht="25.05" customHeight="1" x14ac:dyDescent="0.6">
      <c r="A20" s="72"/>
      <c r="B20" s="414"/>
      <c r="C20" s="423" t="str">
        <f>보장분석!B31</f>
        <v>뇌혈관 수술비</v>
      </c>
      <c r="D20" s="531"/>
      <c r="E20" s="531"/>
      <c r="F20" s="532"/>
      <c r="G20" s="542" t="str">
        <f>보장분석!D31</f>
        <v>1,000만원</v>
      </c>
      <c r="H20" s="129"/>
      <c r="I20" s="133"/>
      <c r="J20" s="432" t="str">
        <f>'리모델링 후(보장)'!B31</f>
        <v>뇌혈관 수술비</v>
      </c>
      <c r="K20" s="531"/>
      <c r="L20" s="531"/>
      <c r="M20" s="532"/>
      <c r="N20" s="542" t="str">
        <f>'리모델링 후(보장)'!D31</f>
        <v/>
      </c>
      <c r="O20" s="129"/>
      <c r="P20" s="132"/>
    </row>
    <row r="21" spans="1:30" ht="25.05" customHeight="1" x14ac:dyDescent="0.6">
      <c r="A21" s="97"/>
      <c r="B21" s="415"/>
      <c r="C21" s="425" t="str">
        <f>보장분석!B32</f>
        <v>2대 주요 치료비</v>
      </c>
      <c r="D21" s="426"/>
      <c r="E21" s="426"/>
      <c r="F21" s="533"/>
      <c r="G21" s="543" t="str">
        <f>보장분석!D32</f>
        <v/>
      </c>
      <c r="H21" s="130"/>
      <c r="J21" s="449" t="str">
        <f>'리모델링 후(보장)'!B32</f>
        <v>2대 주요 치료비</v>
      </c>
      <c r="K21" s="426"/>
      <c r="L21" s="426"/>
      <c r="M21" s="533"/>
      <c r="N21" s="543" t="str">
        <f>'리모델링 후(보장)'!D32</f>
        <v>2,000만원</v>
      </c>
      <c r="O21" s="130"/>
    </row>
    <row r="22" spans="1:30" ht="25.05" customHeight="1" thickBot="1" x14ac:dyDescent="0.65">
      <c r="B22" s="429" t="s">
        <v>30</v>
      </c>
      <c r="C22" s="427" t="str">
        <f>보장분석!B33</f>
        <v>심혈관질환 진단</v>
      </c>
      <c r="D22" s="428"/>
      <c r="E22" s="428"/>
      <c r="F22" s="534"/>
      <c r="G22" s="538" t="str">
        <f>보장분석!D33</f>
        <v/>
      </c>
      <c r="H22" s="120"/>
      <c r="J22" s="441" t="str">
        <f>'리모델링 후(보장)'!B33</f>
        <v>심혈관질환 진단</v>
      </c>
      <c r="K22" s="428"/>
      <c r="L22" s="428"/>
      <c r="M22" s="534"/>
      <c r="N22" s="538" t="str">
        <f>'리모델링 후(보장)'!D33</f>
        <v>1,000만원</v>
      </c>
      <c r="O22" s="120"/>
    </row>
    <row r="23" spans="1:30" ht="25.05" customHeight="1" thickTop="1" thickBot="1" x14ac:dyDescent="0.65">
      <c r="B23" s="430"/>
      <c r="C23" s="446" t="str">
        <f>보장분석!B34</f>
        <v>허혈성심장 진단</v>
      </c>
      <c r="D23" s="528"/>
      <c r="E23" s="528"/>
      <c r="F23" s="529"/>
      <c r="G23" s="539" t="str">
        <f>보장분석!D34</f>
        <v/>
      </c>
      <c r="H23" s="121"/>
      <c r="J23" s="442" t="str">
        <f>'리모델링 후(보장)'!B34</f>
        <v>허혈성심장 진단</v>
      </c>
      <c r="K23" s="528"/>
      <c r="L23" s="528"/>
      <c r="M23" s="529"/>
      <c r="N23" s="539" t="str">
        <f>'리모델링 후(보장)'!D34</f>
        <v>1,000만원</v>
      </c>
      <c r="O23" s="121"/>
    </row>
    <row r="24" spans="1:30" ht="25.05" customHeight="1" thickTop="1" thickBot="1" x14ac:dyDescent="0.65">
      <c r="B24" s="430"/>
      <c r="C24" s="446" t="str">
        <f>보장분석!B35</f>
        <v>급성심근경색 진단</v>
      </c>
      <c r="D24" s="528"/>
      <c r="E24" s="528"/>
      <c r="F24" s="529"/>
      <c r="G24" s="539" t="str">
        <f>보장분석!D35</f>
        <v>3,000만원</v>
      </c>
      <c r="H24" s="121"/>
      <c r="J24" s="442" t="str">
        <f>'리모델링 후(보장)'!B35</f>
        <v>급성심근경색 진단</v>
      </c>
      <c r="K24" s="528"/>
      <c r="L24" s="528"/>
      <c r="M24" s="529"/>
      <c r="N24" s="539" t="str">
        <f>'리모델링 후(보장)'!D35</f>
        <v/>
      </c>
      <c r="O24" s="121"/>
    </row>
    <row r="25" spans="1:30" ht="25.05" customHeight="1" thickTop="1" thickBot="1" x14ac:dyDescent="0.65">
      <c r="B25" s="430"/>
      <c r="C25" s="446" t="str">
        <f>보장분석!B36</f>
        <v>혈전용해치료비</v>
      </c>
      <c r="D25" s="528"/>
      <c r="E25" s="528"/>
      <c r="F25" s="529"/>
      <c r="G25" s="539" t="str">
        <f>보장분석!D36</f>
        <v/>
      </c>
      <c r="H25" s="121"/>
      <c r="J25" s="442" t="str">
        <f>'리모델링 후(보장)'!B36</f>
        <v>혈전용해치료비</v>
      </c>
      <c r="K25" s="528"/>
      <c r="L25" s="528"/>
      <c r="M25" s="529"/>
      <c r="N25" s="539" t="str">
        <f>'리모델링 후(보장)'!D36</f>
        <v/>
      </c>
      <c r="O25" s="121"/>
    </row>
    <row r="26" spans="1:30" ht="25.05" customHeight="1" thickTop="1" thickBot="1" x14ac:dyDescent="0.65">
      <c r="B26" s="430"/>
      <c r="C26" s="446" t="str">
        <f>보장분석!B37</f>
        <v>허혈성심장 수술비</v>
      </c>
      <c r="D26" s="528"/>
      <c r="E26" s="528"/>
      <c r="F26" s="529"/>
      <c r="G26" s="539" t="str">
        <f>보장분석!D37</f>
        <v>1,000만원</v>
      </c>
      <c r="H26" s="121"/>
      <c r="J26" s="442" t="str">
        <f>'리모델링 후(보장)'!B37</f>
        <v>허혈성심장 수술비</v>
      </c>
      <c r="K26" s="528"/>
      <c r="L26" s="528"/>
      <c r="M26" s="529"/>
      <c r="N26" s="539" t="str">
        <f>'리모델링 후(보장)'!D37</f>
        <v/>
      </c>
      <c r="O26" s="121"/>
    </row>
    <row r="27" spans="1:30" ht="25.05" customHeight="1" thickTop="1" x14ac:dyDescent="0.6">
      <c r="B27" s="431"/>
      <c r="C27" s="450" t="str">
        <f>보장분석!B38</f>
        <v>2대 주요 치료비</v>
      </c>
      <c r="D27" s="445"/>
      <c r="E27" s="445"/>
      <c r="F27" s="530"/>
      <c r="G27" s="540" t="str">
        <f>보장분석!D38</f>
        <v/>
      </c>
      <c r="H27" s="122"/>
      <c r="J27" s="444" t="str">
        <f>'리모델링 후(보장)'!B38</f>
        <v>2대 주요 치료비</v>
      </c>
      <c r="K27" s="445"/>
      <c r="L27" s="445"/>
      <c r="M27" s="530"/>
      <c r="N27" s="540" t="str">
        <f>'리모델링 후(보장)'!D38</f>
        <v>2,000만원</v>
      </c>
      <c r="O27" s="122"/>
      <c r="AD27" s="96"/>
    </row>
    <row r="28" spans="1:30" ht="25.05" customHeight="1" x14ac:dyDescent="0.6">
      <c r="A28" s="142"/>
      <c r="B28" s="419" t="s">
        <v>32</v>
      </c>
      <c r="C28" s="451" t="str">
        <f>보장분석!B39</f>
        <v>질병 수술비</v>
      </c>
      <c r="D28" s="448"/>
      <c r="E28" s="448"/>
      <c r="F28" s="535"/>
      <c r="G28" s="544" t="str">
        <f>보장분석!D39</f>
        <v>50만원</v>
      </c>
      <c r="H28" s="126"/>
      <c r="J28" s="447" t="str">
        <f>'리모델링 후(보장)'!B39</f>
        <v>질병 수술비</v>
      </c>
      <c r="K28" s="448"/>
      <c r="L28" s="448"/>
      <c r="M28" s="535"/>
      <c r="N28" s="544" t="str">
        <f>'리모델링 후(보장)'!D39</f>
        <v>100만원</v>
      </c>
      <c r="O28" s="126"/>
      <c r="AD28" s="96"/>
    </row>
    <row r="29" spans="1:30" ht="25.05" customHeight="1" x14ac:dyDescent="0.6">
      <c r="B29" s="414"/>
      <c r="C29" s="423" t="str">
        <f>보장분석!B40</f>
        <v>질병 종 수술비</v>
      </c>
      <c r="D29" s="531"/>
      <c r="E29" s="531"/>
      <c r="F29" s="532"/>
      <c r="G29" s="497" t="str">
        <f>보장분석!D40</f>
        <v>직접입력</v>
      </c>
      <c r="H29" s="127"/>
      <c r="I29" s="133"/>
      <c r="J29" s="432" t="str">
        <f>'리모델링 후(보장)'!B40</f>
        <v>질병 종 수술비</v>
      </c>
      <c r="K29" s="531"/>
      <c r="L29" s="531"/>
      <c r="M29" s="532"/>
      <c r="N29" s="497" t="str">
        <f>'리모델링 후(보장)'!D40</f>
        <v>직접입력</v>
      </c>
      <c r="O29" s="127"/>
      <c r="AD29" s="96"/>
    </row>
    <row r="30" spans="1:30" ht="25.05" customHeight="1" x14ac:dyDescent="0.6">
      <c r="B30" s="414"/>
      <c r="C30" s="423" t="str">
        <f>보장분석!B41</f>
        <v>N대 수술비</v>
      </c>
      <c r="D30" s="531"/>
      <c r="E30" s="531"/>
      <c r="F30" s="532"/>
      <c r="G30" s="497" t="str">
        <f>보장분석!D41</f>
        <v>직접입력</v>
      </c>
      <c r="H30" s="127"/>
      <c r="J30" s="432" t="str">
        <f>'리모델링 후(보장)'!B41</f>
        <v>N대 수술비</v>
      </c>
      <c r="K30" s="531"/>
      <c r="L30" s="531"/>
      <c r="M30" s="532"/>
      <c r="N30" s="497" t="str">
        <f>'리모델링 후(보장)'!D41</f>
        <v>직접입력</v>
      </c>
      <c r="O30" s="127"/>
      <c r="AD30" s="96"/>
    </row>
    <row r="31" spans="1:30" ht="25.05" customHeight="1" x14ac:dyDescent="0.6">
      <c r="B31" s="414"/>
      <c r="C31" s="423" t="str">
        <f>보장분석!B42</f>
        <v>상해 수술비</v>
      </c>
      <c r="D31" s="531"/>
      <c r="E31" s="531"/>
      <c r="F31" s="532"/>
      <c r="G31" s="497" t="str">
        <f>보장분석!D42</f>
        <v/>
      </c>
      <c r="H31" s="127"/>
      <c r="I31" s="133"/>
      <c r="J31" s="432" t="str">
        <f>'리모델링 후(보장)'!B42</f>
        <v>상해 수술비</v>
      </c>
      <c r="K31" s="531"/>
      <c r="L31" s="531"/>
      <c r="M31" s="532"/>
      <c r="N31" s="497" t="str">
        <f>'리모델링 후(보장)'!D42</f>
        <v>100만원</v>
      </c>
      <c r="O31" s="127"/>
      <c r="P31" s="132"/>
      <c r="AD31" s="95"/>
    </row>
    <row r="32" spans="1:30" ht="25.05" customHeight="1" x14ac:dyDescent="0.6">
      <c r="A32" s="142"/>
      <c r="B32" s="415"/>
      <c r="C32" s="425" t="str">
        <f>보장분석!B43</f>
        <v>상해 종 수술비</v>
      </c>
      <c r="D32" s="426"/>
      <c r="E32" s="426"/>
      <c r="F32" s="533"/>
      <c r="G32" s="498" t="str">
        <f>보장분석!D43</f>
        <v>직접입력</v>
      </c>
      <c r="H32" s="134"/>
      <c r="J32" s="449" t="str">
        <f>'리모델링 후(보장)'!B43</f>
        <v>상해 종 수술비</v>
      </c>
      <c r="K32" s="426"/>
      <c r="L32" s="426"/>
      <c r="M32" s="533"/>
      <c r="N32" s="498" t="str">
        <f>'리모델링 후(보장)'!D43</f>
        <v>직접입력</v>
      </c>
      <c r="O32" s="134"/>
    </row>
    <row r="33" spans="1:16" ht="25.05" customHeight="1" x14ac:dyDescent="0.6">
      <c r="B33" s="420" t="s">
        <v>37</v>
      </c>
      <c r="C33" s="427" t="str">
        <f>보장분석!B44</f>
        <v>질병 입원</v>
      </c>
      <c r="D33" s="428"/>
      <c r="E33" s="428"/>
      <c r="F33" s="428"/>
      <c r="G33" s="545" t="str">
        <f>보장분석!D44</f>
        <v>1만원</v>
      </c>
      <c r="H33" s="123"/>
      <c r="J33" s="441" t="str">
        <f>'리모델링 후(보장)'!B44</f>
        <v>질병 입원</v>
      </c>
      <c r="K33" s="428"/>
      <c r="L33" s="428"/>
      <c r="M33" s="428"/>
      <c r="N33" s="545" t="str">
        <f>'리모델링 후(보장)'!D44</f>
        <v/>
      </c>
      <c r="O33" s="123"/>
    </row>
    <row r="34" spans="1:16" ht="25.05" customHeight="1" x14ac:dyDescent="0.6">
      <c r="B34" s="421"/>
      <c r="C34" s="446" t="str">
        <f>보장분석!B45</f>
        <v>상해 입원</v>
      </c>
      <c r="D34" s="528"/>
      <c r="E34" s="528"/>
      <c r="F34" s="529"/>
      <c r="G34" s="546" t="str">
        <f>보장분석!D45</f>
        <v>1만원</v>
      </c>
      <c r="H34" s="124"/>
      <c r="J34" s="442" t="str">
        <f>'리모델링 후(보장)'!B45</f>
        <v>상해 입원</v>
      </c>
      <c r="K34" s="528"/>
      <c r="L34" s="528"/>
      <c r="M34" s="529"/>
      <c r="N34" s="546" t="str">
        <f>'리모델링 후(보장)'!D45</f>
        <v/>
      </c>
      <c r="O34" s="124"/>
    </row>
    <row r="35" spans="1:16" ht="25.05" customHeight="1" x14ac:dyDescent="0.6">
      <c r="B35" s="421"/>
      <c r="C35" s="446" t="str">
        <f>보장분석!B46</f>
        <v>질병 간호간병통합</v>
      </c>
      <c r="D35" s="528"/>
      <c r="E35" s="528"/>
      <c r="F35" s="529"/>
      <c r="G35" s="546" t="str">
        <f>보장분석!D46</f>
        <v/>
      </c>
      <c r="H35" s="124"/>
      <c r="J35" s="442" t="str">
        <f>'리모델링 후(보장)'!B46</f>
        <v>질병 간호간병통합</v>
      </c>
      <c r="K35" s="528"/>
      <c r="L35" s="528"/>
      <c r="M35" s="529"/>
      <c r="N35" s="546" t="str">
        <f>'리모델링 후(보장)'!D46</f>
        <v>7만원</v>
      </c>
      <c r="O35" s="124"/>
    </row>
    <row r="36" spans="1:16" ht="25.05" customHeight="1" x14ac:dyDescent="0.6">
      <c r="B36" s="422"/>
      <c r="C36" s="450" t="str">
        <f>보장분석!B47</f>
        <v>상해 간호간병통합</v>
      </c>
      <c r="D36" s="445"/>
      <c r="E36" s="445"/>
      <c r="F36" s="530"/>
      <c r="G36" s="547" t="str">
        <f>보장분석!D47</f>
        <v/>
      </c>
      <c r="H36" s="125"/>
      <c r="J36" s="444" t="str">
        <f>'리모델링 후(보장)'!B47</f>
        <v>상해 간호간병통합</v>
      </c>
      <c r="K36" s="445"/>
      <c r="L36" s="445"/>
      <c r="M36" s="530"/>
      <c r="N36" s="547" t="str">
        <f>'리모델링 후(보장)'!D47</f>
        <v>7만원</v>
      </c>
      <c r="O36" s="125"/>
    </row>
    <row r="37" spans="1:16" ht="25.05" customHeight="1" x14ac:dyDescent="0.6">
      <c r="A37" s="142"/>
      <c r="B37" s="413" t="s">
        <v>45</v>
      </c>
      <c r="C37" s="451" t="str">
        <f>보장분석!B50</f>
        <v>깁스</v>
      </c>
      <c r="D37" s="448"/>
      <c r="E37" s="448"/>
      <c r="F37" s="448"/>
      <c r="G37" s="541" t="str">
        <f>보장분석!D50</f>
        <v>50만원</v>
      </c>
      <c r="H37" s="128"/>
      <c r="J37" s="447" t="str">
        <f>'리모델링 후(보장)'!D50</f>
        <v>50만원</v>
      </c>
      <c r="K37" s="448"/>
      <c r="L37" s="448"/>
      <c r="M37" s="448"/>
      <c r="N37" s="541" t="str">
        <f>'리모델링 후(보장)'!D50</f>
        <v>50만원</v>
      </c>
      <c r="O37" s="128"/>
    </row>
    <row r="38" spans="1:16" ht="25.05" customHeight="1" x14ac:dyDescent="0.6">
      <c r="A38" s="97"/>
      <c r="B38" s="414"/>
      <c r="C38" s="423" t="str">
        <f>보장분석!B51</f>
        <v>골절진단</v>
      </c>
      <c r="D38" s="531"/>
      <c r="E38" s="531"/>
      <c r="F38" s="532"/>
      <c r="G38" s="542" t="str">
        <f>보장분석!D51</f>
        <v>50만원</v>
      </c>
      <c r="H38" s="129"/>
      <c r="I38" s="133"/>
      <c r="J38" s="432" t="str">
        <f>'리모델링 후(보장)'!D51</f>
        <v>50만원</v>
      </c>
      <c r="K38" s="531"/>
      <c r="L38" s="531"/>
      <c r="M38" s="532"/>
      <c r="N38" s="542" t="str">
        <f>'리모델링 후(보장)'!D51</f>
        <v>50만원</v>
      </c>
      <c r="O38" s="129"/>
      <c r="P38" s="132"/>
    </row>
    <row r="39" spans="1:16" ht="25.05" customHeight="1" x14ac:dyDescent="0.6">
      <c r="A39" s="97"/>
      <c r="B39" s="414"/>
      <c r="C39" s="423" t="str">
        <f>보장분석!B52</f>
        <v>5대골절진단</v>
      </c>
      <c r="D39" s="531"/>
      <c r="E39" s="531"/>
      <c r="F39" s="532"/>
      <c r="G39" s="542" t="str">
        <f>보장분석!D52</f>
        <v>100만원</v>
      </c>
      <c r="H39" s="129"/>
      <c r="I39" s="133"/>
      <c r="J39" s="432" t="str">
        <f>'리모델링 후(보장)'!D52</f>
        <v>100만원</v>
      </c>
      <c r="K39" s="531"/>
      <c r="L39" s="531"/>
      <c r="M39" s="532"/>
      <c r="N39" s="542" t="str">
        <f>'리모델링 후(보장)'!D52</f>
        <v>100만원</v>
      </c>
      <c r="O39" s="129"/>
    </row>
    <row r="40" spans="1:16" ht="25.05" customHeight="1" x14ac:dyDescent="0.6">
      <c r="A40" s="142"/>
      <c r="B40" s="415"/>
      <c r="C40" s="425" t="str">
        <f>보장분석!B53</f>
        <v>화상진단</v>
      </c>
      <c r="D40" s="426"/>
      <c r="E40" s="426"/>
      <c r="F40" s="533"/>
      <c r="G40" s="543" t="str">
        <f>보장분석!D53</f>
        <v>30만원</v>
      </c>
      <c r="H40" s="130"/>
      <c r="I40" s="133"/>
      <c r="J40" s="449" t="str">
        <f>'리모델링 후(보장)'!D53</f>
        <v>50만원</v>
      </c>
      <c r="K40" s="426"/>
      <c r="L40" s="426"/>
      <c r="M40" s="533"/>
      <c r="N40" s="543" t="str">
        <f>'리모델링 후(보장)'!D53</f>
        <v>50만원</v>
      </c>
      <c r="O40" s="130"/>
      <c r="P40" s="132"/>
    </row>
    <row r="41" spans="1:16" ht="5.35" customHeight="1" x14ac:dyDescent="0.6">
      <c r="A41" s="97"/>
      <c r="C41" s="1"/>
      <c r="D41" s="1"/>
      <c r="E41" s="1"/>
      <c r="F41" s="1"/>
      <c r="G41" s="1"/>
      <c r="H41" s="1"/>
      <c r="J41" s="79"/>
      <c r="K41" s="131"/>
      <c r="L41" s="131"/>
      <c r="M41" s="131"/>
      <c r="N41" s="131"/>
      <c r="O41" s="79"/>
    </row>
    <row r="42" spans="1:16" ht="31.15" customHeight="1" x14ac:dyDescent="0.6">
      <c r="B42" s="283" t="s">
        <v>77</v>
      </c>
      <c r="C42" s="433">
        <f>보장분석!A5</f>
        <v>150000</v>
      </c>
      <c r="D42" s="434"/>
      <c r="E42" s="434"/>
      <c r="F42" s="434"/>
      <c r="G42" s="434"/>
      <c r="H42" s="435"/>
      <c r="J42" s="436">
        <f>'리모델링 후(보장)'!A5</f>
        <v>100000</v>
      </c>
      <c r="K42" s="434"/>
      <c r="L42" s="434"/>
      <c r="M42" s="434"/>
      <c r="N42" s="434"/>
      <c r="O42" s="435"/>
    </row>
    <row r="43" spans="1:16" ht="5.35" customHeight="1" x14ac:dyDescent="0.6">
      <c r="A43" s="97"/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</row>
    <row r="44" spans="1:16" ht="31.15" customHeight="1" x14ac:dyDescent="0.6">
      <c r="B44" s="284" t="s">
        <v>137</v>
      </c>
      <c r="C44" s="437">
        <f ca="1">SUM(보장분석!E6:CA6)</f>
        <v>53550000</v>
      </c>
      <c r="D44" s="438"/>
      <c r="E44" s="438"/>
      <c r="F44" s="438"/>
      <c r="G44" s="438"/>
      <c r="H44" s="439"/>
      <c r="J44" s="440">
        <f ca="1">SUM('리모델링 후(보장)'!E6:CA6)</f>
        <v>23700000</v>
      </c>
      <c r="K44" s="438"/>
      <c r="L44" s="438"/>
      <c r="M44" s="438"/>
      <c r="N44" s="438"/>
      <c r="O44" s="439"/>
    </row>
    <row r="45" spans="1:16" ht="9.75" customHeight="1" x14ac:dyDescent="0.6"/>
  </sheetData>
  <mergeCells count="76">
    <mergeCell ref="C42:H42"/>
    <mergeCell ref="J42:O42"/>
    <mergeCell ref="C44:H44"/>
    <mergeCell ref="J44:O44"/>
    <mergeCell ref="C6:H8"/>
    <mergeCell ref="J6:O8"/>
    <mergeCell ref="B37:B40"/>
    <mergeCell ref="C37:F37"/>
    <mergeCell ref="J37:M37"/>
    <mergeCell ref="C38:F38"/>
    <mergeCell ref="J38:M38"/>
    <mergeCell ref="C39:F39"/>
    <mergeCell ref="J39:M39"/>
    <mergeCell ref="C40:F40"/>
    <mergeCell ref="J40:M40"/>
    <mergeCell ref="J32:M32"/>
    <mergeCell ref="B33:B36"/>
    <mergeCell ref="C33:F33"/>
    <mergeCell ref="J33:M33"/>
    <mergeCell ref="C34:F34"/>
    <mergeCell ref="J34:M34"/>
    <mergeCell ref="C35:F35"/>
    <mergeCell ref="J35:M35"/>
    <mergeCell ref="C36:F36"/>
    <mergeCell ref="J36:M36"/>
    <mergeCell ref="B28:B32"/>
    <mergeCell ref="C28:F28"/>
    <mergeCell ref="J28:M28"/>
    <mergeCell ref="C29:F29"/>
    <mergeCell ref="J29:M29"/>
    <mergeCell ref="C30:F30"/>
    <mergeCell ref="J30:M30"/>
    <mergeCell ref="C31:F31"/>
    <mergeCell ref="J31:M31"/>
    <mergeCell ref="C32:F32"/>
    <mergeCell ref="C25:F25"/>
    <mergeCell ref="J25:M25"/>
    <mergeCell ref="C26:F26"/>
    <mergeCell ref="J26:M26"/>
    <mergeCell ref="C27:F27"/>
    <mergeCell ref="J27:M27"/>
    <mergeCell ref="J20:M20"/>
    <mergeCell ref="C21:F21"/>
    <mergeCell ref="J21:M21"/>
    <mergeCell ref="B22:B27"/>
    <mergeCell ref="C22:F22"/>
    <mergeCell ref="J22:M22"/>
    <mergeCell ref="C23:F23"/>
    <mergeCell ref="J23:M23"/>
    <mergeCell ref="C24:F24"/>
    <mergeCell ref="J24:M24"/>
    <mergeCell ref="B16:B21"/>
    <mergeCell ref="C16:F16"/>
    <mergeCell ref="J16:M16"/>
    <mergeCell ref="C17:F17"/>
    <mergeCell ref="J17:M17"/>
    <mergeCell ref="C18:F18"/>
    <mergeCell ref="J18:M18"/>
    <mergeCell ref="C19:F19"/>
    <mergeCell ref="J19:M19"/>
    <mergeCell ref="C20:F20"/>
    <mergeCell ref="J12:M12"/>
    <mergeCell ref="C13:F13"/>
    <mergeCell ref="J13:M13"/>
    <mergeCell ref="C14:F14"/>
    <mergeCell ref="J14:M14"/>
    <mergeCell ref="C15:F15"/>
    <mergeCell ref="J15:M15"/>
    <mergeCell ref="D1:F2"/>
    <mergeCell ref="G1:M2"/>
    <mergeCell ref="B10:B15"/>
    <mergeCell ref="C10:F10"/>
    <mergeCell ref="J10:M10"/>
    <mergeCell ref="C11:F11"/>
    <mergeCell ref="J11:M11"/>
    <mergeCell ref="C12:F12"/>
  </mergeCells>
  <phoneticPr fontId="3" type="noConversion"/>
  <hyperlinks>
    <hyperlink ref="U2" location="'리모델링 후(보장)'!Print_Area" display="'리모델링 후(보장)'!Print_Area" xr:uid="{C299BEB0-91CD-4436-9F6C-FBEA4EA689B9}"/>
    <hyperlink ref="R2" location="보장분석!Print_Area" display="보장분석!Print_Area" xr:uid="{E176B357-8063-4E13-84DD-26409F43D7A9}"/>
  </hyperlinks>
  <printOptions horizontalCentered="1" verticalCentered="1"/>
  <pageMargins left="0" right="0" top="0" bottom="0" header="0" footer="0"/>
  <pageSetup paperSize="9" scale="8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ECFB-D45A-4CAB-9BF5-0C7F16F725EF}">
  <dimension ref="A1:S69"/>
  <sheetViews>
    <sheetView showGridLines="0" view="pageBreakPreview" zoomScale="85" zoomScaleNormal="100" zoomScaleSheetLayoutView="85" workbookViewId="0">
      <selection activeCell="P1" sqref="P1"/>
    </sheetView>
  </sheetViews>
  <sheetFormatPr defaultRowHeight="16.899999999999999" x14ac:dyDescent="0.6"/>
  <cols>
    <col min="1" max="1" width="3.6875" customWidth="1"/>
    <col min="2" max="2" width="15.0625" customWidth="1"/>
    <col min="3" max="4" width="3.625" customWidth="1"/>
    <col min="5" max="6" width="8.625" customWidth="1"/>
    <col min="7" max="7" width="9.6875" bestFit="1" customWidth="1"/>
    <col min="8" max="8" width="4.375" customWidth="1"/>
    <col min="9" max="9" width="18.0625" customWidth="1"/>
    <col min="10" max="11" width="3.625" customWidth="1"/>
    <col min="12" max="13" width="8.625" customWidth="1"/>
    <col min="14" max="14" width="9.6875" customWidth="1"/>
    <col min="15" max="15" width="3.6875" customWidth="1"/>
  </cols>
  <sheetData>
    <row r="1" spans="1:18" ht="28.5" customHeight="1" x14ac:dyDescent="1">
      <c r="A1" s="80"/>
      <c r="B1" s="173"/>
      <c r="C1" s="174"/>
      <c r="D1" s="174"/>
      <c r="E1" s="175"/>
      <c r="F1" s="389" t="str">
        <f>표지!C3</f>
        <v>홍길동</v>
      </c>
      <c r="G1" s="389"/>
      <c r="H1" s="386" t="s">
        <v>138</v>
      </c>
      <c r="I1" s="386"/>
      <c r="J1" s="386"/>
      <c r="K1" s="386"/>
      <c r="L1" s="386"/>
      <c r="M1" s="386"/>
      <c r="N1" s="176"/>
      <c r="O1" s="147"/>
      <c r="P1" s="80"/>
    </row>
    <row r="2" spans="1:18" ht="16.899999999999999" customHeight="1" x14ac:dyDescent="1">
      <c r="A2" s="80"/>
      <c r="B2" s="177"/>
      <c r="C2" s="94"/>
      <c r="D2" s="94"/>
      <c r="E2" s="94"/>
      <c r="F2" s="390"/>
      <c r="G2" s="390"/>
      <c r="H2" s="387"/>
      <c r="I2" s="387"/>
      <c r="J2" s="387"/>
      <c r="K2" s="387"/>
      <c r="L2" s="387"/>
      <c r="M2" s="387"/>
      <c r="N2" s="178"/>
      <c r="O2" s="147"/>
      <c r="P2" s="80"/>
    </row>
    <row r="3" spans="1:18" ht="1.9" customHeight="1" x14ac:dyDescent="1">
      <c r="A3" s="80"/>
      <c r="B3" s="177"/>
      <c r="C3" s="94"/>
      <c r="D3" s="94"/>
      <c r="E3" s="94"/>
      <c r="F3" s="94"/>
      <c r="G3" s="94"/>
      <c r="H3" s="81"/>
      <c r="I3" s="81"/>
      <c r="J3" s="81"/>
      <c r="K3" s="81"/>
      <c r="L3" s="81"/>
      <c r="M3" s="81"/>
      <c r="N3" s="179"/>
      <c r="O3" s="80"/>
      <c r="P3" s="80"/>
    </row>
    <row r="4" spans="1:18" ht="10.15" customHeight="1" thickBot="1" x14ac:dyDescent="0.65"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2"/>
    </row>
    <row r="5" spans="1:18" ht="24.4" customHeight="1" x14ac:dyDescent="0.6"/>
    <row r="6" spans="1:18" ht="25.05" customHeight="1" x14ac:dyDescent="0.6">
      <c r="B6" s="403" t="s">
        <v>139</v>
      </c>
      <c r="C6" s="404"/>
      <c r="D6" s="404"/>
      <c r="E6" s="405"/>
      <c r="F6" s="396">
        <f>보장분석!A5</f>
        <v>150000</v>
      </c>
      <c r="G6" s="397"/>
      <c r="I6" s="410" t="s">
        <v>141</v>
      </c>
      <c r="J6" s="404"/>
      <c r="K6" s="404"/>
      <c r="L6" s="405"/>
      <c r="M6" s="396">
        <f>'리모델링 후(보장)'!A5</f>
        <v>100000</v>
      </c>
      <c r="N6" s="397"/>
      <c r="P6" s="325" t="s">
        <v>161</v>
      </c>
      <c r="Q6" s="325"/>
      <c r="R6" s="325"/>
    </row>
    <row r="7" spans="1:18" ht="25.05" customHeight="1" x14ac:dyDescent="0.6">
      <c r="B7" s="406"/>
      <c r="C7" s="407"/>
      <c r="D7" s="407"/>
      <c r="E7" s="408"/>
      <c r="F7" s="398"/>
      <c r="G7" s="399"/>
      <c r="I7" s="406"/>
      <c r="J7" s="407"/>
      <c r="K7" s="407"/>
      <c r="L7" s="408"/>
      <c r="M7" s="398"/>
      <c r="N7" s="399"/>
      <c r="P7" s="325"/>
      <c r="Q7" s="325"/>
      <c r="R7" s="325"/>
    </row>
    <row r="8" spans="1:18" ht="13.5" customHeight="1" x14ac:dyDescent="0.6"/>
    <row r="9" spans="1:18" ht="50" customHeight="1" x14ac:dyDescent="0.6">
      <c r="B9" s="183" t="str" cm="1">
        <f t="array" ref="B9">INDEX(보장분석!$E$1:$CA$1,1,ROW(A1))</f>
        <v>한화생명</v>
      </c>
      <c r="C9" s="400" t="str" cm="1">
        <f t="array" ref="C9">INDEX(보장분석!$E$2:$CA$2,1,ROW(A1))</f>
        <v>한화생명 100세착한암보험</v>
      </c>
      <c r="D9" s="401"/>
      <c r="E9" s="401"/>
      <c r="F9" s="402"/>
      <c r="G9" s="184" cm="1">
        <f t="array" ref="G9">IF(INDEX(보장분석!$E$8:$CA$8,1,ROW(A1))="","",
INDEX(보장분석!$E$8:$CA$8,1,ROW(A1)))</f>
        <v>150000</v>
      </c>
      <c r="H9" s="72"/>
      <c r="I9" s="183" t="str" cm="1">
        <f t="array" ref="I9">INDEX('리모델링 후(보장)'!$E$1:$CA$1,1,ROW(A1))</f>
        <v>삼성화재</v>
      </c>
      <c r="J9" s="400" t="str" cm="1">
        <f t="array" ref="J9">INDEX('리모델링 후(보장)'!$E$2:$CA$2,1,ROW(A1))</f>
        <v>새로고침100세</v>
      </c>
      <c r="K9" s="401"/>
      <c r="L9" s="401"/>
      <c r="M9" s="402"/>
      <c r="N9" s="184" cm="1">
        <f t="array" ref="N9">IF(INDEX('리모델링 후(보장)'!$E$8:$CA$8,1,ROW(A1))="","",
INDEX('리모델링 후(보장)'!$E$8:$CA$8,1,ROW(A1)))</f>
        <v>100000</v>
      </c>
      <c r="O9" s="1"/>
    </row>
    <row r="10" spans="1:18" ht="50" customHeight="1" x14ac:dyDescent="0.6">
      <c r="B10" s="183" cm="1">
        <f t="array" ref="B10">INDEX(보장분석!$E$1:$CA$1,1,ROW(A2))</f>
        <v>0</v>
      </c>
      <c r="C10" s="400" cm="1">
        <f t="array" ref="C10">INDEX(보장분석!$E$2:$CA$2,1,ROW(A2))</f>
        <v>0</v>
      </c>
      <c r="D10" s="401"/>
      <c r="E10" s="401"/>
      <c r="F10" s="402"/>
      <c r="G10" s="184" t="str" cm="1">
        <f t="array" ref="G10">IF(INDEX(보장분석!$E$8:$CA$8,1,ROW(A2))="","",
INDEX(보장분석!$E$8:$CA$8,1,ROW(A2)))</f>
        <v/>
      </c>
      <c r="H10" s="72"/>
      <c r="I10" s="183" cm="1">
        <f t="array" ref="I10">INDEX('리모델링 후(보장)'!$E$1:$CA$1,1,ROW(A2))</f>
        <v>0</v>
      </c>
      <c r="J10" s="400" cm="1">
        <f t="array" ref="J10">INDEX('리모델링 후(보장)'!$E$2:$CA$2,1,ROW(A2))</f>
        <v>0</v>
      </c>
      <c r="K10" s="401"/>
      <c r="L10" s="401"/>
      <c r="M10" s="402"/>
      <c r="N10" s="184" t="str" cm="1">
        <f t="array" ref="N10">IF(INDEX('리모델링 후(보장)'!$E$8:$CA$8,1,ROW(A2))="","",
INDEX('리모델링 후(보장)'!$E$8:$CA$8,1,ROW(A2)))</f>
        <v/>
      </c>
      <c r="O10" s="1"/>
    </row>
    <row r="11" spans="1:18" ht="50" customHeight="1" x14ac:dyDescent="0.6">
      <c r="B11" s="183" cm="1">
        <f t="array" ref="B11">INDEX(보장분석!$E$1:$CA$1,1,ROW(A3))</f>
        <v>0</v>
      </c>
      <c r="C11" s="400" cm="1">
        <f t="array" ref="C11">INDEX(보장분석!$E$2:$CA$2,1,ROW(A3))</f>
        <v>0</v>
      </c>
      <c r="D11" s="401"/>
      <c r="E11" s="401"/>
      <c r="F11" s="402"/>
      <c r="G11" s="184" t="str" cm="1">
        <f t="array" ref="G11">IF(INDEX(보장분석!$E$8:$CA$8,1,ROW(A3))="","",
INDEX(보장분석!$E$8:$CA$8,1,ROW(A3)))</f>
        <v/>
      </c>
      <c r="H11" s="72"/>
      <c r="I11" s="183" cm="1">
        <f t="array" ref="I11">INDEX('리모델링 후(보장)'!$E$1:$CA$1,1,ROW(A3))</f>
        <v>0</v>
      </c>
      <c r="J11" s="400" cm="1">
        <f t="array" ref="J11">INDEX('리모델링 후(보장)'!$E$2:$CA$2,1,ROW(A3))</f>
        <v>0</v>
      </c>
      <c r="K11" s="401"/>
      <c r="L11" s="401"/>
      <c r="M11" s="402"/>
      <c r="N11" s="184" t="str" cm="1">
        <f t="array" ref="N11">IF(INDEX('리모델링 후(보장)'!$E$8:$CA$8,1,ROW(A3))="","",
INDEX('리모델링 후(보장)'!$E$8:$CA$8,1,ROW(A3)))</f>
        <v/>
      </c>
      <c r="O11" s="1"/>
    </row>
    <row r="12" spans="1:18" ht="50" customHeight="1" x14ac:dyDescent="0.6">
      <c r="B12" s="183" cm="1">
        <f t="array" ref="B12">INDEX(보장분석!$E$1:$CA$1,1,ROW(A4))</f>
        <v>0</v>
      </c>
      <c r="C12" s="400" cm="1">
        <f t="array" ref="C12">INDEX(보장분석!$E$2:$CA$2,1,ROW(A4))</f>
        <v>0</v>
      </c>
      <c r="D12" s="401"/>
      <c r="E12" s="401"/>
      <c r="F12" s="402"/>
      <c r="G12" s="184" t="str" cm="1">
        <f t="array" ref="G12">IF(INDEX(보장분석!$E$8:$CA$8,1,ROW(A4))="","",
INDEX(보장분석!$E$8:$CA$8,1,ROW(A4)))</f>
        <v/>
      </c>
      <c r="H12" s="85"/>
      <c r="I12" s="183" cm="1">
        <f t="array" ref="I12">INDEX('리모델링 후(보장)'!$E$1:$CA$1,1,ROW(A4))</f>
        <v>0</v>
      </c>
      <c r="J12" s="400" cm="1">
        <f t="array" ref="J12">INDEX('리모델링 후(보장)'!$E$2:$CA$2,1,ROW(A4))</f>
        <v>0</v>
      </c>
      <c r="K12" s="401"/>
      <c r="L12" s="401"/>
      <c r="M12" s="402"/>
      <c r="N12" s="184" t="str" cm="1">
        <f t="array" ref="N12">IF(INDEX('리모델링 후(보장)'!$E$8:$CA$8,1,ROW(A4))="","",
INDEX('리모델링 후(보장)'!$E$8:$CA$8,1,ROW(A4)))</f>
        <v/>
      </c>
      <c r="O12" s="1"/>
    </row>
    <row r="13" spans="1:18" ht="50" customHeight="1" x14ac:dyDescent="0.6">
      <c r="B13" s="183" cm="1">
        <f t="array" ref="B13">INDEX(보장분석!$E$1:$CA$1,1,ROW(A5))</f>
        <v>0</v>
      </c>
      <c r="C13" s="400" cm="1">
        <f t="array" ref="C13">INDEX(보장분석!$E$2:$CA$2,1,ROW(A5))</f>
        <v>0</v>
      </c>
      <c r="D13" s="401"/>
      <c r="E13" s="401"/>
      <c r="F13" s="402"/>
      <c r="G13" s="184" t="str" cm="1">
        <f t="array" ref="G13">IF(INDEX(보장분석!$E$8:$CA$8,1,ROW(A5))="","",
INDEX(보장분석!$E$8:$CA$8,1,ROW(A5)))</f>
        <v/>
      </c>
      <c r="H13" s="85"/>
      <c r="I13" s="183" cm="1">
        <f t="array" ref="I13">INDEX('리모델링 후(보장)'!$E$1:$CA$1,1,ROW(A5))</f>
        <v>0</v>
      </c>
      <c r="J13" s="400" cm="1">
        <f t="array" ref="J13">INDEX('리모델링 후(보장)'!$E$2:$CA$2,1,ROW(A5))</f>
        <v>0</v>
      </c>
      <c r="K13" s="401"/>
      <c r="L13" s="401"/>
      <c r="M13" s="402"/>
      <c r="N13" s="184" t="str" cm="1">
        <f t="array" ref="N13">IF(INDEX('리모델링 후(보장)'!$E$8:$CA$8,1,ROW(A5))="","",
INDEX('리모델링 후(보장)'!$E$8:$CA$8,1,ROW(A5)))</f>
        <v/>
      </c>
      <c r="O13" s="1"/>
    </row>
    <row r="14" spans="1:18" ht="50" customHeight="1" x14ac:dyDescent="0.6">
      <c r="F14" s="85"/>
      <c r="G14" s="88"/>
      <c r="H14" s="85"/>
      <c r="I14" s="83"/>
      <c r="J14" s="85"/>
      <c r="K14" s="85"/>
      <c r="L14" s="85"/>
      <c r="M14" s="85"/>
      <c r="N14" s="88"/>
    </row>
    <row r="15" spans="1:18" ht="50" customHeight="1" x14ac:dyDescent="0.6">
      <c r="B15" s="187" t="s">
        <v>160</v>
      </c>
      <c r="C15" s="85"/>
      <c r="D15" s="85"/>
      <c r="E15" s="85"/>
      <c r="F15" s="85"/>
      <c r="G15" s="86"/>
      <c r="H15" s="85"/>
      <c r="I15" s="83"/>
      <c r="J15" s="85"/>
      <c r="K15" s="85"/>
      <c r="L15" s="85"/>
      <c r="M15" s="85"/>
      <c r="N15" s="88"/>
    </row>
    <row r="16" spans="1:18" ht="50" customHeight="1" x14ac:dyDescent="0.6">
      <c r="B16" s="85"/>
      <c r="C16" s="85"/>
      <c r="D16" s="85"/>
      <c r="E16" s="85"/>
      <c r="F16" s="85"/>
      <c r="G16" s="86"/>
      <c r="H16" s="85"/>
      <c r="I16" s="83"/>
      <c r="J16" s="85"/>
      <c r="K16" s="85"/>
      <c r="L16" s="85"/>
      <c r="M16" s="85"/>
      <c r="N16" s="88"/>
    </row>
    <row r="17" spans="1:19" ht="50" customHeight="1" x14ac:dyDescent="0.6">
      <c r="B17" s="85"/>
      <c r="C17" s="85"/>
      <c r="D17" s="85"/>
      <c r="E17" s="85"/>
      <c r="F17" s="85"/>
      <c r="G17" s="86"/>
      <c r="H17" s="85"/>
      <c r="I17" s="83"/>
      <c r="J17" s="85"/>
      <c r="K17" s="85"/>
      <c r="L17" s="85"/>
      <c r="M17" s="85"/>
      <c r="N17" s="88"/>
    </row>
    <row r="18" spans="1:19" ht="50" customHeight="1" x14ac:dyDescent="0.6">
      <c r="B18" s="85"/>
      <c r="C18" s="85"/>
      <c r="D18" s="85"/>
      <c r="E18" s="85"/>
      <c r="F18" s="85"/>
      <c r="G18" s="86"/>
      <c r="H18" s="85"/>
      <c r="I18" s="83"/>
      <c r="J18" s="85"/>
      <c r="K18" s="85"/>
      <c r="L18" s="85"/>
      <c r="M18" s="85"/>
      <c r="N18" s="88"/>
    </row>
    <row r="19" spans="1:19" ht="50" customHeight="1" x14ac:dyDescent="0.6">
      <c r="B19" s="85"/>
      <c r="C19" s="85"/>
      <c r="D19" s="85"/>
      <c r="E19" s="85"/>
      <c r="F19" s="85"/>
      <c r="G19" s="86"/>
      <c r="H19" s="85"/>
      <c r="I19" s="83"/>
      <c r="J19" s="85"/>
      <c r="K19" s="85"/>
      <c r="L19" s="85"/>
      <c r="M19" s="85"/>
      <c r="N19" s="88"/>
    </row>
    <row r="20" spans="1:19" ht="50" customHeight="1" x14ac:dyDescent="0.6">
      <c r="B20" s="85"/>
      <c r="C20" s="85"/>
      <c r="D20" s="85"/>
      <c r="E20" s="85"/>
      <c r="F20" s="85"/>
      <c r="G20" s="86"/>
      <c r="H20" s="85"/>
      <c r="I20" s="83"/>
      <c r="J20" s="85"/>
      <c r="K20" s="85"/>
      <c r="L20" s="85"/>
      <c r="M20" s="85"/>
      <c r="N20" s="88"/>
    </row>
    <row r="21" spans="1:19" ht="49.9" customHeight="1" x14ac:dyDescent="0.6">
      <c r="B21" s="85"/>
      <c r="C21" s="85"/>
      <c r="D21" s="85"/>
      <c r="E21" s="85"/>
      <c r="F21" s="85"/>
      <c r="G21" s="86"/>
      <c r="H21" s="85"/>
      <c r="J21" s="85"/>
      <c r="K21" s="85"/>
      <c r="L21" s="85"/>
      <c r="M21" s="85"/>
      <c r="N21" s="86"/>
    </row>
    <row r="22" spans="1:19" ht="15.85" customHeight="1" x14ac:dyDescent="0.6">
      <c r="A22" s="89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7"/>
      <c r="O22" s="89"/>
      <c r="P22" s="325"/>
      <c r="Q22" s="325"/>
      <c r="R22" s="325"/>
      <c r="S22" s="325"/>
    </row>
    <row r="23" spans="1:19" ht="30" customHeight="1" x14ac:dyDescent="0.95">
      <c r="A23" s="89"/>
      <c r="B23" s="84"/>
      <c r="C23" s="89"/>
      <c r="D23" s="411" t="s">
        <v>142</v>
      </c>
      <c r="E23" s="411"/>
      <c r="F23" s="411"/>
      <c r="G23" s="411"/>
      <c r="H23" s="411"/>
      <c r="I23" s="272">
        <f>F6-M6</f>
        <v>50000</v>
      </c>
      <c r="J23" s="92" t="s">
        <v>143</v>
      </c>
      <c r="K23" s="92"/>
      <c r="L23" s="89"/>
      <c r="M23" s="84"/>
      <c r="N23" s="87"/>
      <c r="O23" s="89"/>
      <c r="P23" s="325"/>
      <c r="Q23" s="325"/>
      <c r="R23" s="325"/>
      <c r="S23" s="325"/>
    </row>
    <row r="24" spans="1:19" ht="4.5" customHeight="1" x14ac:dyDescent="0.85">
      <c r="A24" s="89"/>
      <c r="B24" s="84"/>
      <c r="C24" s="91"/>
      <c r="D24" s="91"/>
      <c r="E24" s="91"/>
      <c r="F24" s="91"/>
      <c r="G24" s="91"/>
      <c r="H24" s="91"/>
      <c r="I24" s="90"/>
      <c r="J24" s="92"/>
      <c r="K24" s="92"/>
      <c r="L24" s="92"/>
      <c r="M24" s="84"/>
      <c r="N24" s="87"/>
      <c r="O24" s="89"/>
      <c r="P24" s="325"/>
      <c r="Q24" s="325"/>
      <c r="R24" s="325"/>
      <c r="S24" s="325"/>
    </row>
    <row r="25" spans="1:19" ht="30" customHeight="1" x14ac:dyDescent="0.95">
      <c r="A25" s="89"/>
      <c r="B25" s="548" t="s">
        <v>422</v>
      </c>
      <c r="C25" s="548"/>
      <c r="D25" s="548"/>
      <c r="E25" s="548"/>
      <c r="F25" s="548"/>
      <c r="G25" s="548"/>
      <c r="H25" s="409">
        <f ca="1">'리모델링 전 후 비교제안서'!C44-'리모델링 전 후 비교제안서'!J44</f>
        <v>29850000</v>
      </c>
      <c r="I25" s="409"/>
      <c r="J25" s="93" t="s">
        <v>146</v>
      </c>
      <c r="K25" s="89"/>
      <c r="L25" s="89"/>
      <c r="M25" s="89"/>
      <c r="N25" s="87"/>
      <c r="O25" s="89"/>
      <c r="P25" s="325"/>
      <c r="Q25" s="325"/>
      <c r="R25" s="325"/>
      <c r="S25" s="325"/>
    </row>
    <row r="26" spans="1:19" ht="15.85" customHeight="1" x14ac:dyDescent="0.6">
      <c r="A26" s="89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7"/>
      <c r="O26" s="89"/>
      <c r="P26" s="325"/>
      <c r="Q26" s="325"/>
      <c r="R26" s="325"/>
      <c r="S26" s="325"/>
    </row>
    <row r="27" spans="1:19" ht="30" customHeight="1" x14ac:dyDescent="0.6">
      <c r="B27" s="85"/>
      <c r="C27" s="85"/>
      <c r="D27" s="85"/>
      <c r="E27" s="85"/>
      <c r="F27" s="85"/>
      <c r="G27" s="86"/>
      <c r="H27" s="85"/>
      <c r="J27" s="85"/>
      <c r="K27" s="85"/>
      <c r="L27" s="85"/>
      <c r="M27" s="85"/>
      <c r="N27" s="86"/>
    </row>
    <row r="28" spans="1:19" ht="30" customHeight="1" x14ac:dyDescent="0.6">
      <c r="B28" s="85"/>
      <c r="C28" s="85"/>
      <c r="D28" s="85"/>
      <c r="E28" s="85"/>
      <c r="F28" s="85"/>
      <c r="G28" s="86"/>
      <c r="H28" s="85"/>
      <c r="J28" s="85"/>
      <c r="K28" s="85"/>
      <c r="L28" s="85"/>
      <c r="M28" s="85"/>
      <c r="N28" s="86"/>
    </row>
    <row r="29" spans="1:19" ht="30" customHeight="1" x14ac:dyDescent="0.6">
      <c r="B29" s="85"/>
      <c r="C29" s="85"/>
      <c r="D29" s="85"/>
      <c r="E29" s="85"/>
      <c r="F29" s="85"/>
      <c r="G29" s="86"/>
      <c r="H29" s="85"/>
      <c r="J29" s="85"/>
      <c r="K29" s="85"/>
      <c r="L29" s="85"/>
      <c r="M29" s="85"/>
      <c r="N29" s="86"/>
    </row>
    <row r="30" spans="1:19" ht="28.05" customHeight="1" x14ac:dyDescent="0.6">
      <c r="B30" s="85"/>
      <c r="C30" s="85"/>
      <c r="D30" s="85"/>
      <c r="E30" s="85"/>
      <c r="F30" s="85"/>
      <c r="G30" s="86"/>
      <c r="H30" s="85"/>
      <c r="J30" s="85"/>
      <c r="K30" s="85"/>
      <c r="L30" s="85"/>
      <c r="M30" s="85"/>
      <c r="N30" s="86"/>
    </row>
    <row r="31" spans="1:19" ht="28.05" customHeight="1" x14ac:dyDescent="0.6">
      <c r="B31" s="85"/>
      <c r="C31" s="85"/>
      <c r="D31" s="85"/>
      <c r="E31" s="85"/>
      <c r="F31" s="85"/>
      <c r="G31" s="86"/>
      <c r="H31" s="85"/>
      <c r="J31" s="85"/>
      <c r="K31" s="85"/>
      <c r="L31" s="85"/>
      <c r="M31" s="85"/>
      <c r="N31" s="86"/>
    </row>
    <row r="32" spans="1:19" ht="28.05" customHeight="1" x14ac:dyDescent="0.6">
      <c r="B32" s="85"/>
      <c r="C32" s="85"/>
      <c r="D32" s="85"/>
      <c r="E32" s="85"/>
      <c r="F32" s="85"/>
      <c r="G32" s="86"/>
      <c r="H32" s="85"/>
      <c r="J32" s="85"/>
      <c r="K32" s="85"/>
      <c r="L32" s="85"/>
      <c r="M32" s="85"/>
      <c r="N32" s="86"/>
    </row>
    <row r="33" spans="2:14" ht="28.05" customHeight="1" x14ac:dyDescent="0.6">
      <c r="B33" s="85"/>
      <c r="C33" s="85"/>
      <c r="D33" s="85"/>
      <c r="E33" s="85"/>
      <c r="F33" s="85"/>
      <c r="G33" s="86"/>
      <c r="H33" s="85"/>
      <c r="J33" s="85"/>
      <c r="K33" s="85"/>
      <c r="L33" s="85"/>
      <c r="M33" s="85"/>
      <c r="N33" s="86"/>
    </row>
    <row r="34" spans="2:14" ht="28.05" customHeight="1" x14ac:dyDescent="0.6">
      <c r="B34" s="85"/>
      <c r="C34" s="85"/>
      <c r="D34" s="85"/>
      <c r="E34" s="85"/>
      <c r="F34" s="85"/>
      <c r="G34" s="86"/>
      <c r="H34" s="85"/>
      <c r="J34" s="85"/>
      <c r="K34" s="85"/>
      <c r="L34" s="85"/>
      <c r="M34" s="85"/>
      <c r="N34" s="86"/>
    </row>
    <row r="35" spans="2:14" ht="28.05" customHeight="1" x14ac:dyDescent="0.6">
      <c r="B35" s="85"/>
      <c r="C35" s="85"/>
      <c r="D35" s="85"/>
      <c r="E35" s="85"/>
      <c r="F35" s="85"/>
      <c r="G35" s="86"/>
      <c r="H35" s="85"/>
      <c r="J35" s="85"/>
      <c r="K35" s="85"/>
      <c r="L35" s="85"/>
      <c r="M35" s="85"/>
      <c r="N35" s="86"/>
    </row>
    <row r="36" spans="2:14" ht="28.05" customHeight="1" x14ac:dyDescent="0.6">
      <c r="B36" s="85"/>
      <c r="C36" s="85"/>
      <c r="D36" s="85"/>
      <c r="E36" s="85"/>
      <c r="F36" s="85"/>
      <c r="G36" s="86"/>
      <c r="H36" s="85"/>
      <c r="J36" s="85"/>
      <c r="K36" s="85"/>
      <c r="L36" s="85"/>
      <c r="M36" s="85"/>
      <c r="N36" s="86"/>
    </row>
    <row r="37" spans="2:14" ht="28.05" customHeight="1" x14ac:dyDescent="0.6">
      <c r="B37" s="85"/>
      <c r="C37" s="85"/>
      <c r="D37" s="85"/>
      <c r="E37" s="85"/>
      <c r="F37" s="85"/>
      <c r="G37" s="86"/>
      <c r="H37" s="85"/>
      <c r="J37" s="85"/>
      <c r="K37" s="85"/>
      <c r="L37" s="85"/>
      <c r="M37" s="85"/>
      <c r="N37" s="86"/>
    </row>
    <row r="38" spans="2:14" ht="28.05" customHeight="1" x14ac:dyDescent="0.6">
      <c r="B38" s="85"/>
      <c r="C38" s="85"/>
      <c r="D38" s="85"/>
      <c r="E38" s="85"/>
      <c r="F38" s="85"/>
      <c r="G38" s="86"/>
      <c r="H38" s="85"/>
      <c r="J38" s="85"/>
      <c r="K38" s="85"/>
      <c r="L38" s="85"/>
      <c r="M38" s="85"/>
      <c r="N38" s="86"/>
    </row>
    <row r="39" spans="2:14" ht="28.05" customHeight="1" x14ac:dyDescent="0.6">
      <c r="B39" s="85"/>
      <c r="C39" s="85"/>
      <c r="D39" s="85"/>
      <c r="E39" s="85"/>
      <c r="F39" s="85"/>
      <c r="G39" s="86"/>
      <c r="H39" s="85"/>
      <c r="J39" s="85"/>
      <c r="K39" s="85"/>
      <c r="L39" s="85"/>
      <c r="M39" s="85"/>
      <c r="N39" s="86"/>
    </row>
    <row r="40" spans="2:14" ht="28.05" customHeight="1" x14ac:dyDescent="0.6">
      <c r="B40" s="85"/>
      <c r="C40" s="85"/>
      <c r="D40" s="85"/>
      <c r="E40" s="85"/>
      <c r="F40" s="85"/>
      <c r="G40" s="86"/>
      <c r="H40" s="85"/>
      <c r="J40" s="85"/>
      <c r="K40" s="85"/>
      <c r="L40" s="85"/>
      <c r="M40" s="85"/>
      <c r="N40" s="86"/>
    </row>
    <row r="41" spans="2:14" ht="28.05" customHeight="1" x14ac:dyDescent="0.6">
      <c r="B41" s="85"/>
      <c r="C41" s="85"/>
      <c r="D41" s="85"/>
      <c r="E41" s="85"/>
      <c r="F41" s="85"/>
      <c r="G41" s="86"/>
      <c r="H41" s="85"/>
      <c r="J41" s="85"/>
      <c r="K41" s="85"/>
      <c r="L41" s="85"/>
      <c r="M41" s="85"/>
      <c r="N41" s="86"/>
    </row>
    <row r="42" spans="2:14" ht="28.05" customHeight="1" x14ac:dyDescent="0.6">
      <c r="B42" s="85"/>
      <c r="C42" s="85"/>
      <c r="D42" s="85"/>
      <c r="E42" s="85"/>
      <c r="F42" s="85"/>
      <c r="G42" s="86"/>
      <c r="H42" s="85"/>
      <c r="J42" s="85"/>
      <c r="K42" s="85"/>
      <c r="L42" s="85"/>
      <c r="M42" s="85"/>
      <c r="N42" s="86"/>
    </row>
    <row r="43" spans="2:14" ht="28.05" customHeight="1" x14ac:dyDescent="0.6">
      <c r="B43" s="85"/>
      <c r="C43" s="85"/>
      <c r="D43" s="85"/>
      <c r="E43" s="85"/>
      <c r="F43" s="85"/>
      <c r="G43" s="86"/>
      <c r="H43" s="85"/>
      <c r="J43" s="85"/>
      <c r="K43" s="85"/>
      <c r="L43" s="85"/>
      <c r="M43" s="85"/>
      <c r="N43" s="86"/>
    </row>
    <row r="44" spans="2:14" ht="28.05" customHeight="1" x14ac:dyDescent="0.6">
      <c r="B44" s="85"/>
      <c r="C44" s="85"/>
      <c r="D44" s="85"/>
      <c r="E44" s="85"/>
      <c r="F44" s="85"/>
      <c r="G44" s="86"/>
      <c r="H44" s="85"/>
      <c r="J44" s="85"/>
      <c r="K44" s="85"/>
      <c r="L44" s="85"/>
      <c r="M44" s="85"/>
      <c r="N44" s="86"/>
    </row>
    <row r="45" spans="2:14" ht="28.05" customHeight="1" x14ac:dyDescent="0.6">
      <c r="B45" s="85"/>
      <c r="C45" s="85"/>
      <c r="D45" s="85"/>
      <c r="E45" s="85"/>
      <c r="F45" s="85"/>
      <c r="G45" s="86"/>
      <c r="H45" s="85"/>
      <c r="J45" s="85"/>
      <c r="K45" s="85"/>
      <c r="L45" s="85"/>
      <c r="M45" s="85"/>
      <c r="N45" s="86"/>
    </row>
    <row r="46" spans="2:14" ht="28.05" customHeight="1" x14ac:dyDescent="0.6">
      <c r="B46" s="85"/>
      <c r="C46" s="85"/>
      <c r="D46" s="85"/>
      <c r="E46" s="85"/>
      <c r="F46" s="85"/>
      <c r="G46" s="86"/>
      <c r="H46" s="85"/>
      <c r="J46" s="85"/>
      <c r="K46" s="85"/>
      <c r="L46" s="85"/>
      <c r="M46" s="85"/>
      <c r="N46" s="86"/>
    </row>
    <row r="47" spans="2:14" ht="28.05" customHeight="1" x14ac:dyDescent="0.6">
      <c r="B47" s="85"/>
      <c r="C47" s="85"/>
      <c r="D47" s="85"/>
      <c r="E47" s="85"/>
      <c r="F47" s="85"/>
      <c r="G47" s="86"/>
      <c r="H47" s="85"/>
      <c r="J47" s="85"/>
      <c r="K47" s="85"/>
      <c r="L47" s="85"/>
      <c r="M47" s="85"/>
      <c r="N47" s="86"/>
    </row>
    <row r="48" spans="2:14" ht="28.05" customHeight="1" x14ac:dyDescent="0.6">
      <c r="B48" s="85"/>
      <c r="C48" s="85"/>
      <c r="D48" s="85"/>
      <c r="E48" s="85"/>
      <c r="F48" s="85"/>
      <c r="G48" s="86"/>
      <c r="H48" s="85"/>
      <c r="J48" s="85"/>
      <c r="K48" s="85"/>
      <c r="L48" s="85"/>
      <c r="M48" s="85"/>
      <c r="N48" s="86"/>
    </row>
    <row r="49" spans="2:14" ht="28.05" customHeight="1" x14ac:dyDescent="0.6">
      <c r="B49" s="85"/>
      <c r="C49" s="85"/>
      <c r="D49" s="85"/>
      <c r="E49" s="85"/>
      <c r="F49" s="85"/>
      <c r="G49" s="86"/>
      <c r="H49" s="85"/>
      <c r="J49" s="85"/>
      <c r="K49" s="85"/>
      <c r="L49" s="85"/>
      <c r="M49" s="85"/>
      <c r="N49" s="86"/>
    </row>
    <row r="50" spans="2:14" ht="28.05" customHeight="1" x14ac:dyDescent="0.6">
      <c r="B50" s="85"/>
      <c r="C50" s="85"/>
      <c r="D50" s="85"/>
      <c r="E50" s="85"/>
      <c r="F50" s="85"/>
      <c r="G50" s="86"/>
      <c r="H50" s="85"/>
      <c r="J50" s="85"/>
      <c r="K50" s="85"/>
      <c r="L50" s="85"/>
      <c r="M50" s="85"/>
      <c r="N50" s="86"/>
    </row>
    <row r="51" spans="2:14" ht="28.05" customHeight="1" x14ac:dyDescent="0.6">
      <c r="B51" s="85"/>
      <c r="C51" s="85"/>
      <c r="D51" s="85"/>
      <c r="E51" s="85"/>
      <c r="F51" s="85"/>
      <c r="G51" s="86"/>
      <c r="H51" s="85"/>
      <c r="J51" s="85"/>
      <c r="K51" s="85"/>
      <c r="L51" s="85"/>
      <c r="M51" s="85"/>
      <c r="N51" s="86"/>
    </row>
    <row r="52" spans="2:14" ht="28.05" customHeight="1" x14ac:dyDescent="0.6">
      <c r="B52" s="85"/>
      <c r="C52" s="85"/>
      <c r="D52" s="85"/>
      <c r="E52" s="85"/>
      <c r="F52" s="85"/>
      <c r="G52" s="86"/>
      <c r="H52" s="85"/>
      <c r="J52" s="85"/>
      <c r="K52" s="85"/>
      <c r="L52" s="85"/>
      <c r="M52" s="85"/>
      <c r="N52" s="86"/>
    </row>
    <row r="53" spans="2:14" ht="28.05" customHeight="1" x14ac:dyDescent="0.6">
      <c r="B53" s="85"/>
      <c r="C53" s="85"/>
      <c r="D53" s="85"/>
      <c r="E53" s="85"/>
      <c r="F53" s="85"/>
      <c r="G53" s="86"/>
      <c r="H53" s="85"/>
      <c r="J53" s="85"/>
      <c r="K53" s="85"/>
      <c r="L53" s="85"/>
      <c r="M53" s="85"/>
      <c r="N53" s="86"/>
    </row>
    <row r="54" spans="2:14" ht="28.05" customHeight="1" x14ac:dyDescent="0.6">
      <c r="B54" s="85"/>
      <c r="C54" s="85"/>
      <c r="D54" s="85"/>
      <c r="E54" s="85"/>
      <c r="F54" s="85"/>
      <c r="G54" s="86"/>
      <c r="H54" s="85"/>
      <c r="J54" s="85"/>
      <c r="K54" s="85"/>
      <c r="L54" s="85"/>
      <c r="M54" s="85"/>
      <c r="N54" s="86"/>
    </row>
    <row r="55" spans="2:14" ht="28.05" customHeight="1" x14ac:dyDescent="0.6">
      <c r="B55" s="85"/>
      <c r="C55" s="85"/>
      <c r="D55" s="85"/>
      <c r="E55" s="85"/>
      <c r="F55" s="85"/>
      <c r="G55" s="86"/>
      <c r="H55" s="85"/>
      <c r="J55" s="85"/>
      <c r="K55" s="85"/>
      <c r="L55" s="85"/>
      <c r="M55" s="85"/>
      <c r="N55" s="86"/>
    </row>
    <row r="56" spans="2:14" ht="28.05" customHeight="1" x14ac:dyDescent="0.6">
      <c r="B56" s="85"/>
      <c r="C56" s="85"/>
      <c r="D56" s="85"/>
      <c r="E56" s="85"/>
      <c r="F56" s="85"/>
      <c r="G56" s="86"/>
      <c r="H56" s="85"/>
      <c r="J56" s="85"/>
      <c r="K56" s="85"/>
      <c r="L56" s="85"/>
      <c r="M56" s="85"/>
      <c r="N56" s="86"/>
    </row>
    <row r="57" spans="2:14" ht="28.05" customHeight="1" x14ac:dyDescent="0.6">
      <c r="B57" s="85"/>
      <c r="C57" s="85"/>
      <c r="D57" s="85"/>
      <c r="E57" s="85"/>
      <c r="F57" s="85"/>
      <c r="G57" s="86"/>
      <c r="H57" s="85"/>
      <c r="J57" s="85"/>
      <c r="K57" s="85"/>
      <c r="L57" s="85"/>
      <c r="M57" s="85"/>
      <c r="N57" s="86"/>
    </row>
    <row r="58" spans="2:14" ht="28.05" customHeight="1" x14ac:dyDescent="0.6">
      <c r="B58" s="85"/>
      <c r="C58" s="85"/>
      <c r="D58" s="85"/>
      <c r="E58" s="85"/>
      <c r="F58" s="85"/>
      <c r="G58" s="86"/>
      <c r="H58" s="85"/>
      <c r="J58" s="85"/>
      <c r="K58" s="85"/>
      <c r="L58" s="85"/>
      <c r="M58" s="85"/>
      <c r="N58" s="86"/>
    </row>
    <row r="59" spans="2:14" ht="28.05" customHeight="1" x14ac:dyDescent="0.6">
      <c r="B59" s="85"/>
      <c r="C59" s="85"/>
      <c r="D59" s="85"/>
      <c r="E59" s="85"/>
      <c r="F59" s="85"/>
      <c r="G59" s="86"/>
      <c r="H59" s="85"/>
      <c r="J59" s="85"/>
      <c r="K59" s="85"/>
      <c r="L59" s="85"/>
      <c r="M59" s="85"/>
      <c r="N59" s="86"/>
    </row>
    <row r="60" spans="2:14" ht="28.05" customHeight="1" x14ac:dyDescent="0.6">
      <c r="B60" s="85"/>
      <c r="C60" s="85"/>
      <c r="D60" s="85"/>
      <c r="E60" s="85"/>
      <c r="F60" s="85"/>
      <c r="G60" s="86"/>
      <c r="H60" s="85"/>
      <c r="J60" s="85"/>
      <c r="K60" s="85"/>
      <c r="L60" s="85"/>
      <c r="M60" s="85"/>
      <c r="N60" s="86"/>
    </row>
    <row r="61" spans="2:14" ht="28.05" customHeight="1" x14ac:dyDescent="0.6">
      <c r="B61" s="85"/>
      <c r="C61" s="85"/>
      <c r="D61" s="85"/>
      <c r="E61" s="85"/>
      <c r="F61" s="85"/>
      <c r="G61" s="86"/>
      <c r="H61" s="85"/>
      <c r="J61" s="85"/>
      <c r="K61" s="85"/>
      <c r="L61" s="85"/>
      <c r="M61" s="85"/>
      <c r="N61" s="86"/>
    </row>
    <row r="62" spans="2:14" ht="28.05" customHeight="1" x14ac:dyDescent="0.6">
      <c r="B62" s="84"/>
      <c r="C62" s="84"/>
      <c r="D62" s="84"/>
      <c r="E62" s="84"/>
      <c r="F62" s="84"/>
      <c r="G62" s="87"/>
      <c r="H62" s="84"/>
      <c r="J62" s="85"/>
      <c r="K62" s="85"/>
      <c r="L62" s="85"/>
      <c r="M62" s="85"/>
      <c r="N62" s="86"/>
    </row>
    <row r="63" spans="2:14" ht="28.05" customHeight="1" x14ac:dyDescent="0.6">
      <c r="B63" s="84"/>
      <c r="C63" s="84"/>
      <c r="D63" s="84"/>
      <c r="E63" s="84"/>
      <c r="F63" s="84"/>
      <c r="G63" s="87"/>
      <c r="H63" s="84"/>
      <c r="J63" s="85"/>
      <c r="K63" s="85"/>
      <c r="L63" s="85"/>
      <c r="M63" s="85"/>
      <c r="N63" s="86"/>
    </row>
    <row r="64" spans="2:14" ht="28.05" customHeight="1" x14ac:dyDescent="0.6">
      <c r="B64" s="84"/>
      <c r="C64" s="84"/>
      <c r="D64" s="84"/>
      <c r="E64" s="84"/>
      <c r="F64" s="84"/>
      <c r="G64" s="87"/>
      <c r="H64" s="84"/>
      <c r="N64" s="86"/>
    </row>
    <row r="65" spans="2:14" ht="28.05" customHeight="1" x14ac:dyDescent="0.6">
      <c r="B65" s="84"/>
      <c r="C65" s="84"/>
      <c r="D65" s="84"/>
      <c r="E65" s="84"/>
      <c r="F65" s="84"/>
      <c r="G65" s="87"/>
      <c r="H65" s="84"/>
      <c r="N65" s="86"/>
    </row>
    <row r="66" spans="2:14" ht="28.05" customHeight="1" x14ac:dyDescent="0.6">
      <c r="B66" s="84"/>
      <c r="C66" s="84"/>
      <c r="D66" s="84"/>
      <c r="E66" s="84"/>
      <c r="F66" s="84"/>
      <c r="G66" s="87"/>
      <c r="H66" s="84"/>
      <c r="N66" s="86"/>
    </row>
    <row r="67" spans="2:14" ht="28.05" customHeight="1" x14ac:dyDescent="0.6">
      <c r="B67" s="84"/>
      <c r="C67" s="84"/>
      <c r="D67" s="84"/>
      <c r="E67" s="84"/>
      <c r="F67" s="84"/>
      <c r="G67" s="87"/>
      <c r="H67" s="84"/>
      <c r="N67" s="86"/>
    </row>
    <row r="68" spans="2:14" ht="28.05" customHeight="1" x14ac:dyDescent="0.6">
      <c r="B68" s="84"/>
      <c r="C68" s="84"/>
      <c r="D68" s="84"/>
      <c r="E68" s="84"/>
      <c r="F68" s="84"/>
      <c r="G68" s="87"/>
      <c r="H68" s="84"/>
      <c r="N68" s="86"/>
    </row>
    <row r="69" spans="2:14" x14ac:dyDescent="0.6">
      <c r="B69" s="84"/>
      <c r="C69" s="84"/>
      <c r="D69" s="84"/>
      <c r="E69" s="84"/>
      <c r="F69" s="84"/>
      <c r="G69" s="84"/>
      <c r="H69" s="84"/>
    </row>
  </sheetData>
  <mergeCells count="21">
    <mergeCell ref="F1:G2"/>
    <mergeCell ref="I6:L7"/>
    <mergeCell ref="H1:M2"/>
    <mergeCell ref="D23:H23"/>
    <mergeCell ref="C11:F11"/>
    <mergeCell ref="C10:F10"/>
    <mergeCell ref="C9:F9"/>
    <mergeCell ref="C12:F12"/>
    <mergeCell ref="C13:F13"/>
    <mergeCell ref="P6:R7"/>
    <mergeCell ref="P22:S26"/>
    <mergeCell ref="F6:G7"/>
    <mergeCell ref="M6:N7"/>
    <mergeCell ref="J11:M11"/>
    <mergeCell ref="J12:M12"/>
    <mergeCell ref="J13:M13"/>
    <mergeCell ref="B6:E7"/>
    <mergeCell ref="J9:M9"/>
    <mergeCell ref="J10:M10"/>
    <mergeCell ref="H25:I25"/>
    <mergeCell ref="B25:G25"/>
  </mergeCells>
  <phoneticPr fontId="3" type="noConversion"/>
  <printOptions horizontalCentered="1"/>
  <pageMargins left="0" right="0" top="0.39370078740157483" bottom="0" header="0" footer="0"/>
  <pageSetup paperSize="9" scale="8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983A-89D6-4311-B8DA-39D676C0F7D6}">
  <dimension ref="A1:AD45"/>
  <sheetViews>
    <sheetView showGridLines="0" view="pageBreakPreview" zoomScale="85" zoomScaleNormal="85" zoomScaleSheetLayoutView="85" workbookViewId="0">
      <selection activeCell="G10" sqref="G10"/>
    </sheetView>
  </sheetViews>
  <sheetFormatPr defaultRowHeight="16.899999999999999" x14ac:dyDescent="0.6"/>
  <cols>
    <col min="1" max="1" width="2.5625" customWidth="1"/>
    <col min="2" max="2" width="16.25" customWidth="1"/>
    <col min="3" max="3" width="5.625" customWidth="1"/>
    <col min="4" max="4" width="6.5" customWidth="1"/>
    <col min="5" max="5" width="4.5625" customWidth="1"/>
    <col min="6" max="6" width="6.625" customWidth="1"/>
    <col min="7" max="7" width="13.5625" customWidth="1"/>
    <col min="8" max="8" width="1" customWidth="1"/>
    <col min="9" max="9" width="5.5625" customWidth="1"/>
    <col min="10" max="10" width="5.625" customWidth="1"/>
    <col min="11" max="11" width="6.5" customWidth="1"/>
    <col min="12" max="12" width="4.5625" customWidth="1"/>
    <col min="13" max="13" width="6.625" customWidth="1"/>
    <col min="14" max="14" width="13.5625" customWidth="1"/>
    <col min="15" max="15" width="1" customWidth="1"/>
    <col min="16" max="16" width="2.5625" customWidth="1"/>
  </cols>
  <sheetData>
    <row r="1" spans="1:17" ht="24" customHeight="1" thickTop="1" x14ac:dyDescent="0.7">
      <c r="A1" s="80"/>
      <c r="B1" s="163"/>
      <c r="C1" s="164"/>
      <c r="D1" s="412" t="str">
        <f>표지!C3</f>
        <v>홍길동</v>
      </c>
      <c r="E1" s="412"/>
      <c r="F1" s="412"/>
      <c r="G1" s="452" t="s">
        <v>151</v>
      </c>
      <c r="H1" s="452"/>
      <c r="I1" s="452"/>
      <c r="J1" s="452"/>
      <c r="K1" s="452"/>
      <c r="L1" s="452"/>
      <c r="M1" s="452"/>
      <c r="N1" s="165"/>
      <c r="O1" s="166"/>
      <c r="P1" s="148"/>
    </row>
    <row r="2" spans="1:17" ht="16.899999999999999" customHeight="1" x14ac:dyDescent="1">
      <c r="A2" s="80"/>
      <c r="B2" s="167"/>
      <c r="C2" s="100"/>
      <c r="D2" s="390"/>
      <c r="E2" s="390"/>
      <c r="F2" s="390"/>
      <c r="G2" s="387"/>
      <c r="H2" s="387"/>
      <c r="I2" s="387"/>
      <c r="J2" s="387"/>
      <c r="K2" s="387"/>
      <c r="L2" s="387"/>
      <c r="M2" s="387"/>
      <c r="N2" s="101"/>
      <c r="O2" s="168"/>
      <c r="P2" s="148"/>
    </row>
    <row r="3" spans="1:17" ht="1.9" customHeight="1" x14ac:dyDescent="1">
      <c r="A3" s="80"/>
      <c r="B3" s="167"/>
      <c r="C3" s="100"/>
      <c r="D3" s="100"/>
      <c r="E3" s="100"/>
      <c r="F3" s="100"/>
      <c r="G3" s="100"/>
      <c r="H3" s="82"/>
      <c r="I3" s="81"/>
      <c r="J3" s="81"/>
      <c r="K3" s="81"/>
      <c r="L3" s="81"/>
      <c r="M3" s="81"/>
      <c r="N3" s="81"/>
      <c r="O3" s="169"/>
      <c r="P3" s="80"/>
    </row>
    <row r="4" spans="1:17" ht="10.15" customHeight="1" thickBot="1" x14ac:dyDescent="0.65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2"/>
    </row>
    <row r="5" spans="1:17" ht="10.050000000000001" customHeight="1" thickTop="1" x14ac:dyDescent="0.6"/>
    <row r="6" spans="1:17" ht="22.5" customHeight="1" x14ac:dyDescent="0.7">
      <c r="C6" s="416" t="s">
        <v>0</v>
      </c>
      <c r="D6" s="417"/>
      <c r="E6" s="417"/>
      <c r="F6" s="417"/>
      <c r="G6" s="417"/>
      <c r="H6" s="418"/>
      <c r="J6" s="491" t="s">
        <v>144</v>
      </c>
      <c r="K6" s="492"/>
      <c r="L6" s="492"/>
      <c r="M6" s="492"/>
      <c r="N6" s="492"/>
      <c r="O6" s="493"/>
      <c r="Q6" t="s">
        <v>163</v>
      </c>
    </row>
    <row r="7" spans="1:17" ht="2.25" customHeight="1" x14ac:dyDescent="0.6">
      <c r="C7" s="104"/>
      <c r="D7" s="103"/>
      <c r="E7" s="103"/>
      <c r="F7" s="103"/>
      <c r="G7" s="103"/>
      <c r="H7" s="105"/>
      <c r="J7" s="113"/>
      <c r="K7" s="114"/>
      <c r="L7" s="114"/>
      <c r="M7" s="114"/>
      <c r="N7" s="114"/>
      <c r="O7" s="115"/>
    </row>
    <row r="8" spans="1:17" ht="22.5" customHeight="1" x14ac:dyDescent="0.6">
      <c r="B8" s="72"/>
      <c r="C8" s="106"/>
      <c r="D8" s="107">
        <v>30</v>
      </c>
      <c r="E8" s="107" t="s">
        <v>145</v>
      </c>
      <c r="F8" s="108">
        <v>100</v>
      </c>
      <c r="G8" s="107" t="s">
        <v>9</v>
      </c>
      <c r="H8" s="109"/>
      <c r="J8" s="116"/>
      <c r="K8" s="117">
        <v>20</v>
      </c>
      <c r="L8" s="117" t="s">
        <v>145</v>
      </c>
      <c r="M8" s="118">
        <v>100</v>
      </c>
      <c r="N8" s="117" t="s">
        <v>9</v>
      </c>
      <c r="O8" s="119"/>
      <c r="Q8" t="s">
        <v>158</v>
      </c>
    </row>
    <row r="9" spans="1:17" ht="5.35" customHeight="1" x14ac:dyDescent="0.6">
      <c r="A9" s="97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</row>
    <row r="10" spans="1:17" ht="25.05" customHeight="1" thickBot="1" x14ac:dyDescent="0.65">
      <c r="B10" s="429" t="s">
        <v>20</v>
      </c>
      <c r="C10" s="427" t="str">
        <f>보장분석!B21</f>
        <v>일반암 진단</v>
      </c>
      <c r="D10" s="428"/>
      <c r="E10" s="428"/>
      <c r="F10" s="428"/>
      <c r="G10" s="499"/>
      <c r="H10" s="110"/>
      <c r="J10" s="441" t="str">
        <f>'리모델링 후(보장)'!B21</f>
        <v>일반암 진단</v>
      </c>
      <c r="K10" s="428"/>
      <c r="L10" s="428"/>
      <c r="M10" s="534"/>
      <c r="N10" s="499"/>
      <c r="O10" s="110"/>
      <c r="Q10" t="s">
        <v>159</v>
      </c>
    </row>
    <row r="11" spans="1:17" ht="25.05" customHeight="1" thickTop="1" thickBot="1" x14ac:dyDescent="0.65">
      <c r="B11" s="430"/>
      <c r="C11" s="446" t="str">
        <f>보장분석!B22</f>
        <v>유사암 진단</v>
      </c>
      <c r="D11" s="528"/>
      <c r="E11" s="528"/>
      <c r="F11" s="529"/>
      <c r="G11" s="500"/>
      <c r="H11" s="111"/>
      <c r="J11" s="442" t="str">
        <f>'리모델링 후(보장)'!B22</f>
        <v>유사암 진단</v>
      </c>
      <c r="K11" s="528"/>
      <c r="L11" s="528"/>
      <c r="M11" s="529"/>
      <c r="N11" s="500"/>
      <c r="O11" s="111"/>
    </row>
    <row r="12" spans="1:17" ht="25.05" customHeight="1" thickTop="1" thickBot="1" x14ac:dyDescent="0.65">
      <c r="B12" s="430"/>
      <c r="C12" s="446" t="str">
        <f>보장분석!B23</f>
        <v>암 주요 치료비</v>
      </c>
      <c r="D12" s="528"/>
      <c r="E12" s="528"/>
      <c r="F12" s="529"/>
      <c r="G12" s="500"/>
      <c r="H12" s="111"/>
      <c r="J12" s="442" t="str">
        <f>'리모델링 후(보장)'!B23</f>
        <v>암 주요 치료비</v>
      </c>
      <c r="K12" s="528"/>
      <c r="L12" s="528"/>
      <c r="M12" s="529"/>
      <c r="N12" s="500"/>
      <c r="O12" s="111"/>
    </row>
    <row r="13" spans="1:17" ht="25.05" customHeight="1" thickTop="1" thickBot="1" x14ac:dyDescent="0.65">
      <c r="B13" s="430"/>
      <c r="C13" s="446" t="str">
        <f>보장분석!B24</f>
        <v>중입자 치료비</v>
      </c>
      <c r="D13" s="528"/>
      <c r="E13" s="528"/>
      <c r="F13" s="529"/>
      <c r="G13" s="500"/>
      <c r="H13" s="111"/>
      <c r="J13" s="442" t="str">
        <f>'리모델링 후(보장)'!B24</f>
        <v>중입자 치료비</v>
      </c>
      <c r="K13" s="528"/>
      <c r="L13" s="528"/>
      <c r="M13" s="529"/>
      <c r="N13" s="500"/>
      <c r="O13" s="111"/>
    </row>
    <row r="14" spans="1:17" ht="25.05" customHeight="1" thickTop="1" thickBot="1" x14ac:dyDescent="0.65">
      <c r="B14" s="430"/>
      <c r="C14" s="446" t="str">
        <f>보장분석!B25</f>
        <v>항암 방사선 치료비</v>
      </c>
      <c r="D14" s="528"/>
      <c r="E14" s="528"/>
      <c r="F14" s="529"/>
      <c r="G14" s="500"/>
      <c r="H14" s="111"/>
      <c r="J14" s="442" t="str">
        <f>'리모델링 후(보장)'!B25</f>
        <v>항암 방사선 치료비</v>
      </c>
      <c r="K14" s="528"/>
      <c r="L14" s="528"/>
      <c r="M14" s="529"/>
      <c r="N14" s="500"/>
      <c r="O14" s="111"/>
    </row>
    <row r="15" spans="1:17" ht="25.05" customHeight="1" thickTop="1" x14ac:dyDescent="0.6">
      <c r="B15" s="431"/>
      <c r="C15" s="450" t="str">
        <f>보장분석!B26</f>
        <v>항암 약물 치료비</v>
      </c>
      <c r="D15" s="445"/>
      <c r="E15" s="445"/>
      <c r="F15" s="530"/>
      <c r="G15" s="501"/>
      <c r="H15" s="112"/>
      <c r="J15" s="444" t="str">
        <f>'리모델링 후(보장)'!B26</f>
        <v>항암 약물 치료비</v>
      </c>
      <c r="K15" s="445"/>
      <c r="L15" s="445"/>
      <c r="M15" s="530"/>
      <c r="N15" s="501"/>
      <c r="O15" s="112"/>
    </row>
    <row r="16" spans="1:17" ht="25.05" customHeight="1" x14ac:dyDescent="0.6">
      <c r="A16" s="142"/>
      <c r="B16" s="419" t="s">
        <v>24</v>
      </c>
      <c r="C16" s="451" t="str">
        <f>보장분석!B27</f>
        <v>뇌혈관질환 진단</v>
      </c>
      <c r="D16" s="448"/>
      <c r="E16" s="448"/>
      <c r="F16" s="448"/>
      <c r="G16" s="494"/>
      <c r="H16" s="128"/>
      <c r="I16" s="133"/>
      <c r="J16" s="447" t="str">
        <f>'리모델링 후(보장)'!B27</f>
        <v>뇌혈관질환 진단</v>
      </c>
      <c r="K16" s="448"/>
      <c r="L16" s="448"/>
      <c r="M16" s="535"/>
      <c r="N16" s="494"/>
      <c r="O16" s="128"/>
      <c r="P16" s="132"/>
    </row>
    <row r="17" spans="1:30" ht="25.05" customHeight="1" x14ac:dyDescent="0.6">
      <c r="B17" s="414"/>
      <c r="C17" s="423" t="str">
        <f>보장분석!B28</f>
        <v>뇌졸증 진단</v>
      </c>
      <c r="D17" s="531"/>
      <c r="E17" s="531"/>
      <c r="F17" s="532"/>
      <c r="G17" s="495"/>
      <c r="H17" s="129"/>
      <c r="J17" s="432" t="str">
        <f>'리모델링 후(보장)'!B28</f>
        <v>뇌졸증 진단</v>
      </c>
      <c r="K17" s="531"/>
      <c r="L17" s="531"/>
      <c r="M17" s="532"/>
      <c r="N17" s="495"/>
      <c r="O17" s="129"/>
    </row>
    <row r="18" spans="1:30" ht="25.05" customHeight="1" x14ac:dyDescent="0.6">
      <c r="B18" s="414"/>
      <c r="C18" s="423" t="str">
        <f>보장분석!B29</f>
        <v>뇌출혈 진단</v>
      </c>
      <c r="D18" s="531"/>
      <c r="E18" s="531"/>
      <c r="F18" s="532"/>
      <c r="G18" s="495"/>
      <c r="H18" s="129"/>
      <c r="J18" s="432" t="str">
        <f>'리모델링 후(보장)'!B29</f>
        <v>뇌출혈 진단</v>
      </c>
      <c r="K18" s="531"/>
      <c r="L18" s="531"/>
      <c r="M18" s="532"/>
      <c r="N18" s="495"/>
      <c r="O18" s="129"/>
    </row>
    <row r="19" spans="1:30" ht="25.05" customHeight="1" x14ac:dyDescent="0.6">
      <c r="B19" s="414"/>
      <c r="C19" s="423" t="str">
        <f>보장분석!B30</f>
        <v>혈전용해치료비</v>
      </c>
      <c r="D19" s="531"/>
      <c r="E19" s="531"/>
      <c r="F19" s="532"/>
      <c r="G19" s="495"/>
      <c r="H19" s="129"/>
      <c r="J19" s="432" t="str">
        <f>'리모델링 후(보장)'!B30</f>
        <v>혈전용해치료비</v>
      </c>
      <c r="K19" s="531"/>
      <c r="L19" s="531"/>
      <c r="M19" s="532"/>
      <c r="N19" s="495"/>
      <c r="O19" s="129"/>
    </row>
    <row r="20" spans="1:30" ht="25.05" customHeight="1" x14ac:dyDescent="0.6">
      <c r="A20" s="72"/>
      <c r="B20" s="414"/>
      <c r="C20" s="423" t="str">
        <f>보장분석!B31</f>
        <v>뇌혈관 수술비</v>
      </c>
      <c r="D20" s="531"/>
      <c r="E20" s="531"/>
      <c r="F20" s="532"/>
      <c r="G20" s="495"/>
      <c r="H20" s="129"/>
      <c r="I20" s="133"/>
      <c r="J20" s="432" t="str">
        <f>'리모델링 후(보장)'!B31</f>
        <v>뇌혈관 수술비</v>
      </c>
      <c r="K20" s="531"/>
      <c r="L20" s="531"/>
      <c r="M20" s="532"/>
      <c r="N20" s="495"/>
      <c r="O20" s="129"/>
      <c r="P20" s="132"/>
    </row>
    <row r="21" spans="1:30" ht="25.05" customHeight="1" x14ac:dyDescent="0.6">
      <c r="A21" s="97"/>
      <c r="B21" s="415"/>
      <c r="C21" s="425" t="str">
        <f>보장분석!B32</f>
        <v>2대 주요 치료비</v>
      </c>
      <c r="D21" s="426"/>
      <c r="E21" s="426"/>
      <c r="F21" s="533"/>
      <c r="G21" s="496"/>
      <c r="H21" s="130"/>
      <c r="J21" s="449" t="str">
        <f>'리모델링 후(보장)'!B32</f>
        <v>2대 주요 치료비</v>
      </c>
      <c r="K21" s="426"/>
      <c r="L21" s="426"/>
      <c r="M21" s="533"/>
      <c r="N21" s="496"/>
      <c r="O21" s="130"/>
    </row>
    <row r="22" spans="1:30" ht="25.05" customHeight="1" thickBot="1" x14ac:dyDescent="0.65">
      <c r="B22" s="429" t="s">
        <v>30</v>
      </c>
      <c r="C22" s="427" t="str">
        <f>보장분석!B33</f>
        <v>심혈관질환 진단</v>
      </c>
      <c r="D22" s="428"/>
      <c r="E22" s="428"/>
      <c r="F22" s="534"/>
      <c r="G22" s="499"/>
      <c r="H22" s="120"/>
      <c r="J22" s="441" t="str">
        <f>'리모델링 후(보장)'!B33</f>
        <v>심혈관질환 진단</v>
      </c>
      <c r="K22" s="428"/>
      <c r="L22" s="428"/>
      <c r="M22" s="534"/>
      <c r="N22" s="499"/>
      <c r="O22" s="120"/>
    </row>
    <row r="23" spans="1:30" ht="25.05" customHeight="1" thickTop="1" thickBot="1" x14ac:dyDescent="0.65">
      <c r="B23" s="430"/>
      <c r="C23" s="446" t="str">
        <f>보장분석!B34</f>
        <v>허혈성심장 진단</v>
      </c>
      <c r="D23" s="528"/>
      <c r="E23" s="528"/>
      <c r="F23" s="529"/>
      <c r="G23" s="500"/>
      <c r="H23" s="121"/>
      <c r="J23" s="442" t="str">
        <f>'리모델링 후(보장)'!B34</f>
        <v>허혈성심장 진단</v>
      </c>
      <c r="K23" s="528"/>
      <c r="L23" s="528"/>
      <c r="M23" s="529"/>
      <c r="N23" s="500"/>
      <c r="O23" s="121"/>
    </row>
    <row r="24" spans="1:30" ht="25.05" customHeight="1" thickTop="1" thickBot="1" x14ac:dyDescent="0.65">
      <c r="B24" s="430"/>
      <c r="C24" s="446" t="str">
        <f>보장분석!B35</f>
        <v>급성심근경색 진단</v>
      </c>
      <c r="D24" s="528"/>
      <c r="E24" s="528"/>
      <c r="F24" s="529"/>
      <c r="G24" s="500"/>
      <c r="H24" s="121"/>
      <c r="J24" s="442" t="str">
        <f>'리모델링 후(보장)'!B35</f>
        <v>급성심근경색 진단</v>
      </c>
      <c r="K24" s="528"/>
      <c r="L24" s="528"/>
      <c r="M24" s="529"/>
      <c r="N24" s="500"/>
      <c r="O24" s="121"/>
    </row>
    <row r="25" spans="1:30" ht="25.05" customHeight="1" thickTop="1" thickBot="1" x14ac:dyDescent="0.65">
      <c r="B25" s="430"/>
      <c r="C25" s="446" t="str">
        <f>보장분석!B36</f>
        <v>혈전용해치료비</v>
      </c>
      <c r="D25" s="528"/>
      <c r="E25" s="528"/>
      <c r="F25" s="529"/>
      <c r="G25" s="500"/>
      <c r="H25" s="121"/>
      <c r="J25" s="442" t="str">
        <f>'리모델링 후(보장)'!B36</f>
        <v>혈전용해치료비</v>
      </c>
      <c r="K25" s="528"/>
      <c r="L25" s="528"/>
      <c r="M25" s="529"/>
      <c r="N25" s="500"/>
      <c r="O25" s="121"/>
    </row>
    <row r="26" spans="1:30" ht="25.05" customHeight="1" thickTop="1" thickBot="1" x14ac:dyDescent="0.65">
      <c r="B26" s="430"/>
      <c r="C26" s="446" t="str">
        <f>보장분석!B37</f>
        <v>허혈성심장 수술비</v>
      </c>
      <c r="D26" s="528"/>
      <c r="E26" s="528"/>
      <c r="F26" s="529"/>
      <c r="G26" s="500"/>
      <c r="H26" s="121"/>
      <c r="J26" s="442" t="str">
        <f>'리모델링 후(보장)'!B37</f>
        <v>허혈성심장 수술비</v>
      </c>
      <c r="K26" s="528"/>
      <c r="L26" s="528"/>
      <c r="M26" s="529"/>
      <c r="N26" s="500"/>
      <c r="O26" s="121"/>
    </row>
    <row r="27" spans="1:30" ht="25.05" customHeight="1" thickTop="1" x14ac:dyDescent="0.6">
      <c r="B27" s="431"/>
      <c r="C27" s="450" t="str">
        <f>보장분석!B38</f>
        <v>2대 주요 치료비</v>
      </c>
      <c r="D27" s="445"/>
      <c r="E27" s="445"/>
      <c r="F27" s="530"/>
      <c r="G27" s="501"/>
      <c r="H27" s="122"/>
      <c r="J27" s="444" t="str">
        <f>'리모델링 후(보장)'!B38</f>
        <v>2대 주요 치료비</v>
      </c>
      <c r="K27" s="445"/>
      <c r="L27" s="445"/>
      <c r="M27" s="530"/>
      <c r="N27" s="501"/>
      <c r="O27" s="122"/>
      <c r="AD27" s="96"/>
    </row>
    <row r="28" spans="1:30" ht="25.05" customHeight="1" x14ac:dyDescent="0.6">
      <c r="A28" s="142"/>
      <c r="B28" s="419" t="s">
        <v>32</v>
      </c>
      <c r="C28" s="451" t="str">
        <f>보장분석!B39</f>
        <v>질병 수술비</v>
      </c>
      <c r="D28" s="448"/>
      <c r="E28" s="448"/>
      <c r="F28" s="535"/>
      <c r="G28" s="502"/>
      <c r="H28" s="126"/>
      <c r="J28" s="447" t="str">
        <f>'리모델링 후(보장)'!B39</f>
        <v>질병 수술비</v>
      </c>
      <c r="K28" s="448"/>
      <c r="L28" s="448"/>
      <c r="M28" s="535"/>
      <c r="N28" s="502"/>
      <c r="O28" s="126"/>
      <c r="AD28" s="96"/>
    </row>
    <row r="29" spans="1:30" ht="25.05" customHeight="1" x14ac:dyDescent="0.6">
      <c r="B29" s="414"/>
      <c r="C29" s="423" t="str">
        <f>보장분석!B40</f>
        <v>질병 종 수술비</v>
      </c>
      <c r="D29" s="531"/>
      <c r="E29" s="531"/>
      <c r="F29" s="532"/>
      <c r="G29" s="503"/>
      <c r="H29" s="127"/>
      <c r="I29" s="133"/>
      <c r="J29" s="432" t="str">
        <f>'리모델링 후(보장)'!B40</f>
        <v>질병 종 수술비</v>
      </c>
      <c r="K29" s="531"/>
      <c r="L29" s="531"/>
      <c r="M29" s="532"/>
      <c r="N29" s="503"/>
      <c r="O29" s="127"/>
      <c r="AD29" s="96"/>
    </row>
    <row r="30" spans="1:30" ht="25.05" customHeight="1" x14ac:dyDescent="0.6">
      <c r="B30" s="414"/>
      <c r="C30" s="423" t="str">
        <f>보장분석!B41</f>
        <v>N대 수술비</v>
      </c>
      <c r="D30" s="531"/>
      <c r="E30" s="531"/>
      <c r="F30" s="532"/>
      <c r="G30" s="503"/>
      <c r="H30" s="127"/>
      <c r="J30" s="432" t="str">
        <f>'리모델링 후(보장)'!B41</f>
        <v>N대 수술비</v>
      </c>
      <c r="K30" s="531"/>
      <c r="L30" s="531"/>
      <c r="M30" s="532"/>
      <c r="N30" s="503"/>
      <c r="O30" s="127"/>
      <c r="AD30" s="96"/>
    </row>
    <row r="31" spans="1:30" ht="25.05" customHeight="1" x14ac:dyDescent="0.6">
      <c r="B31" s="414"/>
      <c r="C31" s="423" t="str">
        <f>보장분석!B42</f>
        <v>상해 수술비</v>
      </c>
      <c r="D31" s="531"/>
      <c r="E31" s="531"/>
      <c r="F31" s="532"/>
      <c r="G31" s="503"/>
      <c r="H31" s="127"/>
      <c r="I31" s="133"/>
      <c r="J31" s="432" t="str">
        <f>'리모델링 후(보장)'!B42</f>
        <v>상해 수술비</v>
      </c>
      <c r="K31" s="531"/>
      <c r="L31" s="531"/>
      <c r="M31" s="532"/>
      <c r="N31" s="503"/>
      <c r="O31" s="127"/>
      <c r="P31" s="132"/>
      <c r="AD31" s="95"/>
    </row>
    <row r="32" spans="1:30" ht="25.05" customHeight="1" x14ac:dyDescent="0.6">
      <c r="A32" s="142"/>
      <c r="B32" s="415"/>
      <c r="C32" s="425" t="str">
        <f>보장분석!B43</f>
        <v>상해 종 수술비</v>
      </c>
      <c r="D32" s="426"/>
      <c r="E32" s="426"/>
      <c r="F32" s="533"/>
      <c r="G32" s="504"/>
      <c r="H32" s="134"/>
      <c r="J32" s="449" t="str">
        <f>'리모델링 후(보장)'!B43</f>
        <v>상해 종 수술비</v>
      </c>
      <c r="K32" s="426"/>
      <c r="L32" s="426"/>
      <c r="M32" s="533"/>
      <c r="N32" s="504"/>
      <c r="O32" s="134"/>
    </row>
    <row r="33" spans="1:17" ht="25.05" customHeight="1" x14ac:dyDescent="0.6">
      <c r="B33" s="420" t="s">
        <v>37</v>
      </c>
      <c r="C33" s="427" t="str">
        <f>보장분석!B44</f>
        <v>질병 입원</v>
      </c>
      <c r="D33" s="428"/>
      <c r="E33" s="428"/>
      <c r="F33" s="428"/>
      <c r="G33" s="505"/>
      <c r="H33" s="123"/>
      <c r="J33" s="441" t="str">
        <f>'리모델링 후(보장)'!B44</f>
        <v>질병 입원</v>
      </c>
      <c r="K33" s="428"/>
      <c r="L33" s="428"/>
      <c r="M33" s="428"/>
      <c r="N33" s="505"/>
      <c r="O33" s="123"/>
    </row>
    <row r="34" spans="1:17" ht="25.05" customHeight="1" x14ac:dyDescent="0.6">
      <c r="B34" s="421"/>
      <c r="C34" s="446" t="str">
        <f>보장분석!B45</f>
        <v>상해 입원</v>
      </c>
      <c r="D34" s="528"/>
      <c r="E34" s="528"/>
      <c r="F34" s="529"/>
      <c r="G34" s="506"/>
      <c r="H34" s="124"/>
      <c r="J34" s="442" t="str">
        <f>'리모델링 후(보장)'!B45</f>
        <v>상해 입원</v>
      </c>
      <c r="K34" s="528"/>
      <c r="L34" s="528"/>
      <c r="M34" s="529"/>
      <c r="N34" s="506"/>
      <c r="O34" s="124"/>
    </row>
    <row r="35" spans="1:17" ht="25.05" customHeight="1" x14ac:dyDescent="0.6">
      <c r="B35" s="421"/>
      <c r="C35" s="446" t="str">
        <f>보장분석!B46</f>
        <v>질병 간호간병통합</v>
      </c>
      <c r="D35" s="528"/>
      <c r="E35" s="528"/>
      <c r="F35" s="529"/>
      <c r="G35" s="506"/>
      <c r="H35" s="124"/>
      <c r="J35" s="442" t="str">
        <f>'리모델링 후(보장)'!B46</f>
        <v>질병 간호간병통합</v>
      </c>
      <c r="K35" s="528"/>
      <c r="L35" s="528"/>
      <c r="M35" s="529"/>
      <c r="N35" s="506"/>
      <c r="O35" s="124"/>
    </row>
    <row r="36" spans="1:17" ht="25.05" customHeight="1" x14ac:dyDescent="0.6">
      <c r="B36" s="422"/>
      <c r="C36" s="450" t="str">
        <f>보장분석!B47</f>
        <v>상해 간호간병통합</v>
      </c>
      <c r="D36" s="445"/>
      <c r="E36" s="445"/>
      <c r="F36" s="530"/>
      <c r="G36" s="507"/>
      <c r="H36" s="125"/>
      <c r="J36" s="444" t="str">
        <f>'리모델링 후(보장)'!B47</f>
        <v>상해 간호간병통합</v>
      </c>
      <c r="K36" s="445"/>
      <c r="L36" s="445"/>
      <c r="M36" s="530"/>
      <c r="N36" s="507"/>
      <c r="O36" s="125"/>
    </row>
    <row r="37" spans="1:17" ht="25.05" customHeight="1" x14ac:dyDescent="0.6">
      <c r="A37" s="142"/>
      <c r="B37" s="413" t="s">
        <v>45</v>
      </c>
      <c r="C37" s="451" t="str">
        <f>보장분석!B50</f>
        <v>깁스</v>
      </c>
      <c r="D37" s="448"/>
      <c r="E37" s="448"/>
      <c r="F37" s="448"/>
      <c r="G37" s="494"/>
      <c r="H37" s="128"/>
      <c r="J37" s="447" t="str">
        <f>'리모델링 후(보장)'!D50</f>
        <v>50만원</v>
      </c>
      <c r="K37" s="448"/>
      <c r="L37" s="448"/>
      <c r="M37" s="448"/>
      <c r="N37" s="494"/>
      <c r="O37" s="128"/>
    </row>
    <row r="38" spans="1:17" ht="25.05" customHeight="1" x14ac:dyDescent="0.6">
      <c r="A38" s="97"/>
      <c r="B38" s="414"/>
      <c r="C38" s="423" t="str">
        <f>보장분석!B51</f>
        <v>골절진단</v>
      </c>
      <c r="D38" s="531"/>
      <c r="E38" s="531"/>
      <c r="F38" s="532"/>
      <c r="G38" s="495"/>
      <c r="H38" s="129"/>
      <c r="I38" s="133"/>
      <c r="J38" s="432" t="str">
        <f>'리모델링 후(보장)'!D51</f>
        <v>50만원</v>
      </c>
      <c r="K38" s="531"/>
      <c r="L38" s="531"/>
      <c r="M38" s="532"/>
      <c r="N38" s="495"/>
      <c r="O38" s="129"/>
      <c r="P38" s="132"/>
    </row>
    <row r="39" spans="1:17" ht="25.05" customHeight="1" x14ac:dyDescent="0.6">
      <c r="A39" s="97"/>
      <c r="B39" s="414"/>
      <c r="C39" s="423" t="str">
        <f>보장분석!B52</f>
        <v>5대골절진단</v>
      </c>
      <c r="D39" s="531"/>
      <c r="E39" s="531"/>
      <c r="F39" s="532"/>
      <c r="G39" s="495"/>
      <c r="H39" s="129"/>
      <c r="I39" s="133"/>
      <c r="J39" s="432" t="str">
        <f>'리모델링 후(보장)'!D52</f>
        <v>100만원</v>
      </c>
      <c r="K39" s="531"/>
      <c r="L39" s="531"/>
      <c r="M39" s="532"/>
      <c r="N39" s="495"/>
      <c r="O39" s="129"/>
    </row>
    <row r="40" spans="1:17" ht="25.05" customHeight="1" x14ac:dyDescent="0.6">
      <c r="A40" s="142"/>
      <c r="B40" s="415"/>
      <c r="C40" s="425" t="str">
        <f>보장분석!B53</f>
        <v>화상진단</v>
      </c>
      <c r="D40" s="426"/>
      <c r="E40" s="426"/>
      <c r="F40" s="533"/>
      <c r="G40" s="496"/>
      <c r="H40" s="130"/>
      <c r="I40" s="133"/>
      <c r="J40" s="449" t="str">
        <f>'리모델링 후(보장)'!D53</f>
        <v>50만원</v>
      </c>
      <c r="K40" s="426"/>
      <c r="L40" s="426"/>
      <c r="M40" s="533"/>
      <c r="N40" s="496"/>
      <c r="O40" s="130"/>
      <c r="P40" s="132"/>
    </row>
    <row r="41" spans="1:17" ht="5.35" customHeight="1" x14ac:dyDescent="0.6">
      <c r="A41" s="97"/>
      <c r="C41" s="1"/>
      <c r="D41" s="1"/>
      <c r="E41" s="1"/>
      <c r="F41" s="1"/>
      <c r="G41" s="1"/>
      <c r="H41" s="1"/>
      <c r="J41" s="79"/>
      <c r="K41" s="131"/>
      <c r="L41" s="131"/>
      <c r="M41" s="131"/>
      <c r="N41" s="131"/>
      <c r="O41" s="79"/>
    </row>
    <row r="42" spans="1:17" ht="31.15" customHeight="1" x14ac:dyDescent="0.6">
      <c r="B42" s="283" t="s">
        <v>77</v>
      </c>
      <c r="C42" s="433"/>
      <c r="D42" s="434"/>
      <c r="E42" s="434"/>
      <c r="F42" s="434"/>
      <c r="G42" s="434"/>
      <c r="H42" s="435"/>
      <c r="J42" s="436"/>
      <c r="K42" s="434"/>
      <c r="L42" s="434"/>
      <c r="M42" s="434"/>
      <c r="N42" s="434"/>
      <c r="O42" s="435"/>
      <c r="Q42" t="s">
        <v>152</v>
      </c>
    </row>
    <row r="43" spans="1:17" ht="5.35" customHeight="1" x14ac:dyDescent="0.6">
      <c r="A43" s="97"/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</row>
    <row r="44" spans="1:17" ht="31.15" customHeight="1" x14ac:dyDescent="0.6">
      <c r="B44" s="284" t="s">
        <v>137</v>
      </c>
      <c r="C44" s="437">
        <f>C42*12*D8</f>
        <v>0</v>
      </c>
      <c r="D44" s="438"/>
      <c r="E44" s="438"/>
      <c r="F44" s="438"/>
      <c r="G44" s="438"/>
      <c r="H44" s="439"/>
      <c r="J44" s="440">
        <f>J42*12*K8</f>
        <v>0</v>
      </c>
      <c r="K44" s="438"/>
      <c r="L44" s="438"/>
      <c r="M44" s="438"/>
      <c r="N44" s="438"/>
      <c r="O44" s="439"/>
      <c r="Q44" t="s">
        <v>153</v>
      </c>
    </row>
    <row r="45" spans="1:17" ht="9.75" customHeight="1" x14ac:dyDescent="0.6"/>
  </sheetData>
  <mergeCells count="76">
    <mergeCell ref="C40:F40"/>
    <mergeCell ref="G1:M2"/>
    <mergeCell ref="C34:F34"/>
    <mergeCell ref="C35:F35"/>
    <mergeCell ref="C36:F36"/>
    <mergeCell ref="C37:F37"/>
    <mergeCell ref="C38:F38"/>
    <mergeCell ref="C39:F39"/>
    <mergeCell ref="J40:M40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J34:M34"/>
    <mergeCell ref="J35:M35"/>
    <mergeCell ref="J36:M36"/>
    <mergeCell ref="J37:M37"/>
    <mergeCell ref="J38:M38"/>
    <mergeCell ref="J39:M39"/>
    <mergeCell ref="J28:M28"/>
    <mergeCell ref="J29:M29"/>
    <mergeCell ref="J30:M30"/>
    <mergeCell ref="J31:M31"/>
    <mergeCell ref="J32:M32"/>
    <mergeCell ref="J33:M33"/>
    <mergeCell ref="J22:M22"/>
    <mergeCell ref="J23:M23"/>
    <mergeCell ref="J24:M24"/>
    <mergeCell ref="J25:M25"/>
    <mergeCell ref="J26:M26"/>
    <mergeCell ref="J21:M21"/>
    <mergeCell ref="C13:F13"/>
    <mergeCell ref="C14:F14"/>
    <mergeCell ref="C15:F15"/>
    <mergeCell ref="C16:F16"/>
    <mergeCell ref="C17:F17"/>
    <mergeCell ref="C18:F18"/>
    <mergeCell ref="C19:F19"/>
    <mergeCell ref="J18:M18"/>
    <mergeCell ref="C42:H42"/>
    <mergeCell ref="J42:O42"/>
    <mergeCell ref="C44:H44"/>
    <mergeCell ref="J44:O44"/>
    <mergeCell ref="J10:M10"/>
    <mergeCell ref="J11:M11"/>
    <mergeCell ref="J12:M12"/>
    <mergeCell ref="J13:M13"/>
    <mergeCell ref="J14:M14"/>
    <mergeCell ref="J15:M15"/>
    <mergeCell ref="C10:F10"/>
    <mergeCell ref="C11:F11"/>
    <mergeCell ref="C12:F12"/>
    <mergeCell ref="J16:M16"/>
    <mergeCell ref="J17:M17"/>
    <mergeCell ref="J27:M27"/>
    <mergeCell ref="D1:F2"/>
    <mergeCell ref="B37:B40"/>
    <mergeCell ref="J6:O6"/>
    <mergeCell ref="C6:H6"/>
    <mergeCell ref="B28:B32"/>
    <mergeCell ref="B33:B36"/>
    <mergeCell ref="C31:F31"/>
    <mergeCell ref="C32:F32"/>
    <mergeCell ref="C33:F33"/>
    <mergeCell ref="B16:B21"/>
    <mergeCell ref="B22:B27"/>
    <mergeCell ref="C20:F20"/>
    <mergeCell ref="C21:F21"/>
    <mergeCell ref="B10:B15"/>
    <mergeCell ref="J19:M19"/>
    <mergeCell ref="J20:M20"/>
  </mergeCells>
  <phoneticPr fontId="3" type="noConversion"/>
  <printOptions horizontalCentered="1" verticalCentered="1"/>
  <pageMargins left="0" right="0" top="0" bottom="0" header="0" footer="0"/>
  <pageSetup paperSize="9" scale="8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ED1D-D1CC-493D-A6DA-C0E9CFA00D97}">
  <dimension ref="A1:AE45"/>
  <sheetViews>
    <sheetView showGridLines="0" view="pageBreakPreview" zoomScale="85" zoomScaleNormal="85" zoomScaleSheetLayoutView="85" workbookViewId="0">
      <selection activeCell="C10" sqref="C10:F10"/>
    </sheetView>
  </sheetViews>
  <sheetFormatPr defaultRowHeight="16.899999999999999" x14ac:dyDescent="0.6"/>
  <cols>
    <col min="1" max="1" width="2.5625" customWidth="1"/>
    <col min="2" max="2" width="16.25" customWidth="1"/>
    <col min="3" max="3" width="5.625" customWidth="1"/>
    <col min="4" max="4" width="6.5" customWidth="1"/>
    <col min="5" max="5" width="4.5625" customWidth="1"/>
    <col min="6" max="6" width="6.625" customWidth="1"/>
    <col min="7" max="7" width="13.5625" customWidth="1"/>
    <col min="8" max="8" width="1" customWidth="1"/>
    <col min="9" max="9" width="5.5625" customWidth="1"/>
    <col min="10" max="10" width="5.625" customWidth="1"/>
    <col min="11" max="11" width="6.5" customWidth="1"/>
    <col min="12" max="12" width="4.5625" customWidth="1"/>
    <col min="13" max="13" width="6.625" customWidth="1"/>
    <col min="14" max="14" width="13.5625" customWidth="1"/>
    <col min="15" max="15" width="1" customWidth="1"/>
    <col min="16" max="16" width="2.5625" customWidth="1"/>
  </cols>
  <sheetData>
    <row r="1" spans="1:17" ht="24" customHeight="1" thickTop="1" x14ac:dyDescent="0.7">
      <c r="A1" s="80"/>
      <c r="B1" s="163"/>
      <c r="C1" s="164"/>
      <c r="D1" s="412" t="str">
        <f>표지!C3</f>
        <v>홍길동</v>
      </c>
      <c r="E1" s="412"/>
      <c r="F1" s="412"/>
      <c r="G1" s="452" t="s">
        <v>412</v>
      </c>
      <c r="H1" s="452"/>
      <c r="I1" s="452"/>
      <c r="J1" s="452"/>
      <c r="K1" s="452"/>
      <c r="L1" s="452"/>
      <c r="M1" s="452"/>
      <c r="N1" s="165"/>
      <c r="O1" s="166"/>
      <c r="P1" s="148"/>
    </row>
    <row r="2" spans="1:17" ht="16.899999999999999" customHeight="1" x14ac:dyDescent="1">
      <c r="A2" s="80"/>
      <c r="B2" s="167"/>
      <c r="C2" s="100"/>
      <c r="D2" s="390"/>
      <c r="E2" s="390"/>
      <c r="F2" s="390"/>
      <c r="G2" s="387"/>
      <c r="H2" s="387"/>
      <c r="I2" s="387"/>
      <c r="J2" s="387"/>
      <c r="K2" s="387"/>
      <c r="L2" s="387"/>
      <c r="M2" s="387"/>
      <c r="N2" s="101"/>
      <c r="O2" s="168"/>
      <c r="P2" s="148"/>
    </row>
    <row r="3" spans="1:17" ht="1.9" customHeight="1" x14ac:dyDescent="1">
      <c r="A3" s="80"/>
      <c r="B3" s="167"/>
      <c r="C3" s="100"/>
      <c r="D3" s="100"/>
      <c r="E3" s="100"/>
      <c r="F3" s="100"/>
      <c r="G3" s="100"/>
      <c r="H3" s="82"/>
      <c r="I3" s="81"/>
      <c r="J3" s="81"/>
      <c r="K3" s="81"/>
      <c r="L3" s="81"/>
      <c r="M3" s="81"/>
      <c r="N3" s="81"/>
      <c r="O3" s="169"/>
      <c r="P3" s="80"/>
    </row>
    <row r="4" spans="1:17" ht="10.15" customHeight="1" thickBot="1" x14ac:dyDescent="0.65"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2"/>
    </row>
    <row r="5" spans="1:17" ht="10.050000000000001" customHeight="1" thickTop="1" x14ac:dyDescent="0.6"/>
    <row r="6" spans="1:17" ht="22.5" customHeight="1" x14ac:dyDescent="0.7">
      <c r="C6" s="416" t="s">
        <v>0</v>
      </c>
      <c r="D6" s="417"/>
      <c r="E6" s="417"/>
      <c r="F6" s="417"/>
      <c r="G6" s="417"/>
      <c r="H6" s="418"/>
      <c r="J6" s="491" t="s">
        <v>144</v>
      </c>
      <c r="K6" s="492"/>
      <c r="L6" s="492"/>
      <c r="M6" s="492"/>
      <c r="N6" s="492"/>
      <c r="O6" s="493"/>
      <c r="Q6" t="s">
        <v>163</v>
      </c>
    </row>
    <row r="7" spans="1:17" ht="2.25" customHeight="1" x14ac:dyDescent="0.6">
      <c r="C7" s="104"/>
      <c r="D7" s="103"/>
      <c r="E7" s="103"/>
      <c r="F7" s="103"/>
      <c r="G7" s="103"/>
      <c r="H7" s="105"/>
      <c r="J7" s="113"/>
      <c r="K7" s="114"/>
      <c r="L7" s="114"/>
      <c r="M7" s="114"/>
      <c r="N7" s="114"/>
      <c r="O7" s="115"/>
    </row>
    <row r="8" spans="1:17" ht="22.5" customHeight="1" x14ac:dyDescent="0.6">
      <c r="B8" s="72"/>
      <c r="C8" s="106"/>
      <c r="D8" s="107">
        <v>20</v>
      </c>
      <c r="E8" s="107" t="s">
        <v>145</v>
      </c>
      <c r="F8" s="149">
        <v>20</v>
      </c>
      <c r="G8" s="107" t="s">
        <v>9</v>
      </c>
      <c r="H8" s="109"/>
      <c r="J8" s="116"/>
      <c r="K8" s="117">
        <v>20</v>
      </c>
      <c r="L8" s="117" t="s">
        <v>145</v>
      </c>
      <c r="M8" s="150">
        <v>20</v>
      </c>
      <c r="N8" s="117" t="s">
        <v>9</v>
      </c>
      <c r="O8" s="119"/>
      <c r="Q8" t="s">
        <v>158</v>
      </c>
    </row>
    <row r="9" spans="1:17" ht="5.35" customHeight="1" x14ac:dyDescent="0.6">
      <c r="B9" s="143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</row>
    <row r="10" spans="1:17" ht="25.05" customHeight="1" x14ac:dyDescent="0.6">
      <c r="B10" s="420" t="s">
        <v>3</v>
      </c>
      <c r="C10" s="427"/>
      <c r="D10" s="428"/>
      <c r="E10" s="428"/>
      <c r="F10" s="428"/>
      <c r="G10" s="499"/>
      <c r="H10" s="110"/>
      <c r="J10" s="441"/>
      <c r="K10" s="428"/>
      <c r="L10" s="428"/>
      <c r="M10" s="428"/>
      <c r="N10" s="499"/>
      <c r="O10" s="110"/>
      <c r="P10" s="98"/>
      <c r="Q10" t="s">
        <v>159</v>
      </c>
    </row>
    <row r="11" spans="1:17" ht="25.05" customHeight="1" x14ac:dyDescent="0.6">
      <c r="B11" s="422"/>
      <c r="C11" s="450"/>
      <c r="D11" s="445"/>
      <c r="E11" s="445"/>
      <c r="F11" s="445"/>
      <c r="G11" s="501"/>
      <c r="H11" s="112"/>
      <c r="J11" s="444"/>
      <c r="K11" s="445"/>
      <c r="L11" s="445"/>
      <c r="M11" s="445"/>
      <c r="N11" s="501"/>
      <c r="O11" s="112"/>
      <c r="P11" s="141"/>
    </row>
    <row r="12" spans="1:17" ht="25.05" customHeight="1" x14ac:dyDescent="0.6">
      <c r="A12" s="142"/>
      <c r="B12" s="419" t="s">
        <v>96</v>
      </c>
      <c r="C12" s="451"/>
      <c r="D12" s="448"/>
      <c r="E12" s="448"/>
      <c r="F12" s="448"/>
      <c r="G12" s="494"/>
      <c r="H12" s="136"/>
      <c r="J12" s="447"/>
      <c r="K12" s="448"/>
      <c r="L12" s="448"/>
      <c r="M12" s="448"/>
      <c r="N12" s="494"/>
      <c r="O12" s="126"/>
      <c r="P12" s="135"/>
    </row>
    <row r="13" spans="1:17" ht="25.05" customHeight="1" x14ac:dyDescent="0.6">
      <c r="B13" s="414"/>
      <c r="C13" s="423"/>
      <c r="D13" s="424"/>
      <c r="E13" s="424"/>
      <c r="F13" s="424"/>
      <c r="G13" s="495"/>
      <c r="H13" s="137"/>
      <c r="J13" s="432"/>
      <c r="K13" s="424"/>
      <c r="L13" s="424"/>
      <c r="M13" s="424"/>
      <c r="N13" s="495"/>
      <c r="O13" s="137"/>
      <c r="P13" s="98"/>
    </row>
    <row r="14" spans="1:17" ht="25.05" customHeight="1" x14ac:dyDescent="0.6">
      <c r="B14" s="414"/>
      <c r="C14" s="423"/>
      <c r="D14" s="424"/>
      <c r="E14" s="424"/>
      <c r="F14" s="424"/>
      <c r="G14" s="495"/>
      <c r="H14" s="137"/>
      <c r="I14" s="133"/>
      <c r="J14" s="432"/>
      <c r="K14" s="424"/>
      <c r="L14" s="424"/>
      <c r="M14" s="424"/>
      <c r="N14" s="495"/>
      <c r="O14" s="137"/>
      <c r="P14" s="98"/>
    </row>
    <row r="15" spans="1:17" ht="25.05" customHeight="1" x14ac:dyDescent="0.6">
      <c r="B15" s="415"/>
      <c r="C15" s="425"/>
      <c r="D15" s="426"/>
      <c r="E15" s="426"/>
      <c r="F15" s="426"/>
      <c r="G15" s="496"/>
      <c r="H15" s="138"/>
      <c r="I15" s="133"/>
      <c r="J15" s="449"/>
      <c r="K15" s="426"/>
      <c r="L15" s="426"/>
      <c r="M15" s="426"/>
      <c r="N15" s="496"/>
      <c r="O15" s="138"/>
      <c r="P15" s="141"/>
    </row>
    <row r="16" spans="1:17" ht="25.05" customHeight="1" x14ac:dyDescent="0.6">
      <c r="A16" s="142"/>
      <c r="B16" s="453" t="s">
        <v>45</v>
      </c>
      <c r="C16" s="427"/>
      <c r="D16" s="428"/>
      <c r="E16" s="428"/>
      <c r="F16" s="428"/>
      <c r="G16" s="499"/>
      <c r="H16" s="120"/>
      <c r="I16" s="135"/>
      <c r="J16" s="441"/>
      <c r="K16" s="428"/>
      <c r="L16" s="428"/>
      <c r="M16" s="428"/>
      <c r="N16" s="499"/>
      <c r="O16" s="120"/>
      <c r="P16" s="98"/>
    </row>
    <row r="17" spans="1:31" ht="25.05" customHeight="1" x14ac:dyDescent="0.6">
      <c r="B17" s="421"/>
      <c r="C17" s="446"/>
      <c r="D17" s="443"/>
      <c r="E17" s="443"/>
      <c r="F17" s="443"/>
      <c r="G17" s="500"/>
      <c r="H17" s="121"/>
      <c r="I17" s="146"/>
      <c r="J17" s="442"/>
      <c r="K17" s="443"/>
      <c r="L17" s="443"/>
      <c r="M17" s="443"/>
      <c r="N17" s="500"/>
      <c r="O17" s="121"/>
      <c r="P17" s="141"/>
    </row>
    <row r="18" spans="1:31" ht="25.05" customHeight="1" x14ac:dyDescent="0.6">
      <c r="B18" s="421"/>
      <c r="C18" s="446"/>
      <c r="D18" s="443"/>
      <c r="E18" s="443"/>
      <c r="F18" s="443"/>
      <c r="G18" s="500"/>
      <c r="H18" s="121"/>
      <c r="I18" s="133"/>
      <c r="J18" s="442"/>
      <c r="K18" s="443"/>
      <c r="L18" s="443"/>
      <c r="M18" s="443"/>
      <c r="N18" s="500"/>
      <c r="O18" s="121"/>
      <c r="P18" s="98"/>
    </row>
    <row r="19" spans="1:31" ht="25.05" customHeight="1" x14ac:dyDescent="0.6">
      <c r="B19" s="421"/>
      <c r="C19" s="446"/>
      <c r="D19" s="443"/>
      <c r="E19" s="443"/>
      <c r="F19" s="443"/>
      <c r="G19" s="500"/>
      <c r="H19" s="121"/>
      <c r="J19" s="442"/>
      <c r="K19" s="443"/>
      <c r="L19" s="443"/>
      <c r="M19" s="443"/>
      <c r="N19" s="500"/>
      <c r="O19" s="121"/>
      <c r="P19" s="98"/>
    </row>
    <row r="20" spans="1:31" ht="25.05" customHeight="1" x14ac:dyDescent="0.6">
      <c r="B20" s="422"/>
      <c r="C20" s="450"/>
      <c r="D20" s="445"/>
      <c r="E20" s="445"/>
      <c r="F20" s="445"/>
      <c r="G20" s="501"/>
      <c r="H20" s="122"/>
      <c r="J20" s="444"/>
      <c r="K20" s="445"/>
      <c r="L20" s="445"/>
      <c r="M20" s="445"/>
      <c r="N20" s="501"/>
      <c r="O20" s="122"/>
      <c r="P20" s="98"/>
    </row>
    <row r="21" spans="1:31" ht="25.05" customHeight="1" x14ac:dyDescent="0.6">
      <c r="A21" s="142"/>
      <c r="B21" s="419" t="s">
        <v>32</v>
      </c>
      <c r="C21" s="451"/>
      <c r="D21" s="448"/>
      <c r="E21" s="448"/>
      <c r="F21" s="448"/>
      <c r="G21" s="502"/>
      <c r="H21" s="126"/>
      <c r="J21" s="447"/>
      <c r="K21" s="448"/>
      <c r="L21" s="448"/>
      <c r="M21" s="448"/>
      <c r="N21" s="502"/>
      <c r="O21" s="126"/>
      <c r="AD21" s="96"/>
    </row>
    <row r="22" spans="1:31" ht="25.05" customHeight="1" x14ac:dyDescent="0.6">
      <c r="B22" s="414"/>
      <c r="C22" s="423"/>
      <c r="D22" s="424"/>
      <c r="E22" s="424"/>
      <c r="F22" s="424"/>
      <c r="G22" s="503"/>
      <c r="H22" s="127"/>
      <c r="I22" s="133"/>
      <c r="J22" s="432"/>
      <c r="K22" s="424"/>
      <c r="L22" s="424"/>
      <c r="M22" s="424"/>
      <c r="N22" s="503"/>
      <c r="O22" s="127"/>
      <c r="AD22" s="96"/>
    </row>
    <row r="23" spans="1:31" ht="25.05" customHeight="1" x14ac:dyDescent="0.6">
      <c r="B23" s="414"/>
      <c r="C23" s="423"/>
      <c r="D23" s="424"/>
      <c r="E23" s="424"/>
      <c r="F23" s="424"/>
      <c r="G23" s="503"/>
      <c r="H23" s="127"/>
      <c r="J23" s="432"/>
      <c r="K23" s="424"/>
      <c r="L23" s="424"/>
      <c r="M23" s="424"/>
      <c r="N23" s="503"/>
      <c r="O23" s="127"/>
      <c r="AD23" s="96"/>
    </row>
    <row r="24" spans="1:31" ht="25.05" customHeight="1" x14ac:dyDescent="0.6">
      <c r="B24" s="414"/>
      <c r="C24" s="423"/>
      <c r="D24" s="424"/>
      <c r="E24" s="424"/>
      <c r="F24" s="424"/>
      <c r="G24" s="503"/>
      <c r="H24" s="127"/>
      <c r="I24" s="133"/>
      <c r="J24" s="432"/>
      <c r="K24" s="424"/>
      <c r="L24" s="424"/>
      <c r="M24" s="424"/>
      <c r="N24" s="503"/>
      <c r="O24" s="127"/>
      <c r="P24" s="132"/>
      <c r="AD24" s="95"/>
    </row>
    <row r="25" spans="1:31" ht="25.05" customHeight="1" x14ac:dyDescent="0.6">
      <c r="A25" s="142"/>
      <c r="B25" s="415"/>
      <c r="C25" s="425"/>
      <c r="D25" s="426"/>
      <c r="E25" s="426"/>
      <c r="F25" s="426"/>
      <c r="G25" s="504"/>
      <c r="H25" s="134"/>
      <c r="J25" s="449"/>
      <c r="K25" s="426"/>
      <c r="L25" s="426"/>
      <c r="M25" s="426"/>
      <c r="N25" s="504"/>
      <c r="O25" s="134"/>
    </row>
    <row r="26" spans="1:31" ht="25.05" customHeight="1" x14ac:dyDescent="0.6">
      <c r="B26" s="420" t="s">
        <v>37</v>
      </c>
      <c r="C26" s="427"/>
      <c r="D26" s="428"/>
      <c r="E26" s="428"/>
      <c r="F26" s="428"/>
      <c r="G26" s="499"/>
      <c r="H26" s="120"/>
      <c r="J26" s="441"/>
      <c r="K26" s="428"/>
      <c r="L26" s="428"/>
      <c r="M26" s="428"/>
      <c r="N26" s="499"/>
      <c r="O26" s="120"/>
      <c r="P26" s="98"/>
    </row>
    <row r="27" spans="1:31" ht="25.05" customHeight="1" x14ac:dyDescent="0.6">
      <c r="B27" s="421"/>
      <c r="C27" s="446"/>
      <c r="D27" s="443"/>
      <c r="E27" s="443"/>
      <c r="F27" s="443"/>
      <c r="G27" s="500"/>
      <c r="H27" s="121"/>
      <c r="J27" s="442"/>
      <c r="K27" s="443"/>
      <c r="L27" s="443"/>
      <c r="M27" s="443"/>
      <c r="N27" s="500"/>
      <c r="O27" s="121"/>
      <c r="P27" s="98"/>
      <c r="AE27" s="96"/>
    </row>
    <row r="28" spans="1:31" ht="25.05" customHeight="1" x14ac:dyDescent="0.6">
      <c r="A28" s="142"/>
      <c r="B28" s="421"/>
      <c r="C28" s="446"/>
      <c r="D28" s="443"/>
      <c r="E28" s="443"/>
      <c r="F28" s="443"/>
      <c r="G28" s="500"/>
      <c r="H28" s="121"/>
      <c r="J28" s="442"/>
      <c r="K28" s="443"/>
      <c r="L28" s="443"/>
      <c r="M28" s="443"/>
      <c r="N28" s="500"/>
      <c r="O28" s="121"/>
      <c r="P28" s="141"/>
      <c r="AE28" s="96"/>
    </row>
    <row r="29" spans="1:31" ht="25.05" customHeight="1" x14ac:dyDescent="0.6">
      <c r="A29" s="72"/>
      <c r="B29" s="422"/>
      <c r="C29" s="450"/>
      <c r="D29" s="445"/>
      <c r="E29" s="445"/>
      <c r="F29" s="445"/>
      <c r="G29" s="501"/>
      <c r="H29" s="122"/>
      <c r="J29" s="444"/>
      <c r="K29" s="445"/>
      <c r="L29" s="445"/>
      <c r="M29" s="445"/>
      <c r="N29" s="501"/>
      <c r="O29" s="122"/>
      <c r="P29" s="98"/>
      <c r="AE29" s="96"/>
    </row>
    <row r="30" spans="1:31" ht="25.05" customHeight="1" x14ac:dyDescent="0.6">
      <c r="A30" s="142"/>
      <c r="B30" s="419" t="s">
        <v>147</v>
      </c>
      <c r="C30" s="451" t="s">
        <v>154</v>
      </c>
      <c r="D30" s="448"/>
      <c r="E30" s="448"/>
      <c r="F30" s="448"/>
      <c r="G30" s="502"/>
      <c r="H30" s="126"/>
      <c r="J30" s="447"/>
      <c r="K30" s="448"/>
      <c r="L30" s="448"/>
      <c r="M30" s="448"/>
      <c r="N30" s="502"/>
      <c r="O30" s="126"/>
      <c r="AD30" s="96"/>
    </row>
    <row r="31" spans="1:31" ht="25.05" customHeight="1" x14ac:dyDescent="0.6">
      <c r="B31" s="414"/>
      <c r="C31" s="423" t="s">
        <v>155</v>
      </c>
      <c r="D31" s="424"/>
      <c r="E31" s="424"/>
      <c r="F31" s="424"/>
      <c r="G31" s="503"/>
      <c r="H31" s="127"/>
      <c r="I31" s="133"/>
      <c r="J31" s="432"/>
      <c r="K31" s="424"/>
      <c r="L31" s="424"/>
      <c r="M31" s="424"/>
      <c r="N31" s="503"/>
      <c r="O31" s="127"/>
      <c r="AD31" s="96"/>
    </row>
    <row r="32" spans="1:31" ht="25.05" customHeight="1" x14ac:dyDescent="0.6">
      <c r="B32" s="414"/>
      <c r="C32" s="423" t="s">
        <v>53</v>
      </c>
      <c r="D32" s="424"/>
      <c r="E32" s="424"/>
      <c r="F32" s="424"/>
      <c r="G32" s="503"/>
      <c r="H32" s="127"/>
      <c r="J32" s="432"/>
      <c r="K32" s="424"/>
      <c r="L32" s="424"/>
      <c r="M32" s="424"/>
      <c r="N32" s="503"/>
      <c r="O32" s="127"/>
      <c r="AD32" s="96"/>
    </row>
    <row r="33" spans="1:30" ht="25.05" customHeight="1" x14ac:dyDescent="0.6">
      <c r="B33" s="414"/>
      <c r="C33" s="423" t="s">
        <v>54</v>
      </c>
      <c r="D33" s="424"/>
      <c r="E33" s="424"/>
      <c r="F33" s="424"/>
      <c r="G33" s="503"/>
      <c r="H33" s="127"/>
      <c r="I33" s="133"/>
      <c r="J33" s="432"/>
      <c r="K33" s="424"/>
      <c r="L33" s="424"/>
      <c r="M33" s="424"/>
      <c r="N33" s="503"/>
      <c r="O33" s="127"/>
      <c r="P33" s="132"/>
      <c r="AD33" s="95"/>
    </row>
    <row r="34" spans="1:30" ht="25.05" customHeight="1" x14ac:dyDescent="0.6">
      <c r="A34" s="142"/>
      <c r="B34" s="415"/>
      <c r="C34" s="425"/>
      <c r="D34" s="426"/>
      <c r="E34" s="426"/>
      <c r="F34" s="426"/>
      <c r="G34" s="504"/>
      <c r="H34" s="134"/>
      <c r="J34" s="449"/>
      <c r="K34" s="426"/>
      <c r="L34" s="426"/>
      <c r="M34" s="426"/>
      <c r="N34" s="504"/>
      <c r="O34" s="134"/>
    </row>
    <row r="35" spans="1:30" ht="25.05" customHeight="1" x14ac:dyDescent="0.6">
      <c r="B35" s="420" t="s">
        <v>63</v>
      </c>
      <c r="C35" s="427" t="s">
        <v>149</v>
      </c>
      <c r="D35" s="428"/>
      <c r="E35" s="428"/>
      <c r="F35" s="428"/>
      <c r="G35" s="499"/>
      <c r="H35" s="120"/>
      <c r="J35" s="441"/>
      <c r="K35" s="428"/>
      <c r="L35" s="428"/>
      <c r="M35" s="428"/>
      <c r="N35" s="499"/>
      <c r="O35" s="120"/>
      <c r="P35" s="139"/>
    </row>
    <row r="36" spans="1:30" ht="25.05" customHeight="1" x14ac:dyDescent="0.6">
      <c r="A36" s="72"/>
      <c r="B36" s="421"/>
      <c r="C36" s="446" t="s">
        <v>150</v>
      </c>
      <c r="D36" s="443"/>
      <c r="E36" s="443"/>
      <c r="F36" s="443"/>
      <c r="G36" s="500"/>
      <c r="H36" s="121"/>
      <c r="J36" s="442"/>
      <c r="K36" s="443"/>
      <c r="L36" s="443"/>
      <c r="M36" s="443"/>
      <c r="N36" s="500"/>
      <c r="O36" s="121"/>
      <c r="P36" s="140"/>
    </row>
    <row r="37" spans="1:30" ht="25.05" customHeight="1" x14ac:dyDescent="0.6">
      <c r="A37" s="97"/>
      <c r="B37" s="422"/>
      <c r="C37" s="450"/>
      <c r="D37" s="445"/>
      <c r="E37" s="445"/>
      <c r="F37" s="445"/>
      <c r="G37" s="501"/>
      <c r="H37" s="122"/>
      <c r="J37" s="444"/>
      <c r="K37" s="445"/>
      <c r="L37" s="445"/>
      <c r="M37" s="445"/>
      <c r="N37" s="501"/>
      <c r="O37" s="122"/>
      <c r="P37" s="139"/>
    </row>
    <row r="38" spans="1:30" ht="25.05" customHeight="1" thickBot="1" x14ac:dyDescent="0.65">
      <c r="A38" s="97"/>
      <c r="B38" s="419" t="s">
        <v>80</v>
      </c>
      <c r="C38" s="451" t="s">
        <v>148</v>
      </c>
      <c r="D38" s="448"/>
      <c r="E38" s="448"/>
      <c r="F38" s="448"/>
      <c r="G38" s="494"/>
      <c r="H38" s="128"/>
      <c r="I38" s="133"/>
      <c r="J38" s="447"/>
      <c r="K38" s="448"/>
      <c r="L38" s="448"/>
      <c r="M38" s="448"/>
      <c r="N38" s="494"/>
      <c r="O38" s="128"/>
      <c r="P38" s="141"/>
    </row>
    <row r="39" spans="1:30" ht="25.05" customHeight="1" thickTop="1" x14ac:dyDescent="0.6">
      <c r="A39" s="142"/>
      <c r="B39" s="414"/>
      <c r="C39" s="423"/>
      <c r="D39" s="424"/>
      <c r="E39" s="424"/>
      <c r="F39" s="424"/>
      <c r="G39" s="508"/>
      <c r="H39" s="72"/>
      <c r="I39" s="133"/>
      <c r="J39" s="132"/>
      <c r="K39" s="102"/>
      <c r="L39" s="102"/>
      <c r="M39" s="102"/>
      <c r="N39" s="508"/>
      <c r="O39" s="129"/>
      <c r="P39" s="141"/>
    </row>
    <row r="40" spans="1:30" ht="25.05" customHeight="1" x14ac:dyDescent="0.6">
      <c r="A40" s="142"/>
      <c r="B40" s="415"/>
      <c r="C40" s="425"/>
      <c r="D40" s="426"/>
      <c r="E40" s="426"/>
      <c r="F40" s="426"/>
      <c r="G40" s="509"/>
      <c r="H40" s="144"/>
      <c r="J40" s="145"/>
      <c r="K40" s="143"/>
      <c r="L40" s="143"/>
      <c r="M40" s="143"/>
      <c r="N40" s="509"/>
      <c r="O40" s="130"/>
      <c r="P40" s="141"/>
    </row>
    <row r="41" spans="1:30" ht="5.35" customHeight="1" x14ac:dyDescent="0.6">
      <c r="B41" s="285"/>
      <c r="C41" s="1"/>
      <c r="D41" s="1"/>
      <c r="E41" s="1"/>
      <c r="F41" s="1"/>
      <c r="G41" s="1"/>
      <c r="H41" s="1"/>
      <c r="J41" s="131"/>
      <c r="K41" s="1"/>
      <c r="L41" s="1"/>
      <c r="M41" s="1"/>
      <c r="N41" s="1"/>
      <c r="O41" s="1"/>
    </row>
    <row r="42" spans="1:30" ht="31.15" customHeight="1" x14ac:dyDescent="0.6">
      <c r="B42" s="70" t="s">
        <v>77</v>
      </c>
      <c r="C42" s="433"/>
      <c r="D42" s="434"/>
      <c r="E42" s="434"/>
      <c r="F42" s="434"/>
      <c r="G42" s="434"/>
      <c r="H42" s="435"/>
      <c r="J42" s="436"/>
      <c r="K42" s="434"/>
      <c r="L42" s="434"/>
      <c r="M42" s="434"/>
      <c r="N42" s="434"/>
      <c r="O42" s="435"/>
      <c r="P42" s="98"/>
      <c r="Q42" t="s">
        <v>152</v>
      </c>
    </row>
    <row r="43" spans="1:30" ht="5.35" customHeight="1" x14ac:dyDescent="0.6"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</row>
    <row r="44" spans="1:30" ht="31.15" customHeight="1" x14ac:dyDescent="0.6">
      <c r="B44" s="284" t="s">
        <v>137</v>
      </c>
      <c r="C44" s="437">
        <f>C42*12*D8</f>
        <v>0</v>
      </c>
      <c r="D44" s="438"/>
      <c r="E44" s="438"/>
      <c r="F44" s="438"/>
      <c r="G44" s="438"/>
      <c r="H44" s="439"/>
      <c r="J44" s="440">
        <f>J42*12*K8</f>
        <v>0</v>
      </c>
      <c r="K44" s="438"/>
      <c r="L44" s="438"/>
      <c r="M44" s="438"/>
      <c r="N44" s="438"/>
      <c r="O44" s="439"/>
      <c r="P44" s="98"/>
      <c r="Q44" t="s">
        <v>153</v>
      </c>
    </row>
    <row r="45" spans="1:30" ht="9.75" customHeight="1" x14ac:dyDescent="0.6"/>
  </sheetData>
  <mergeCells count="76">
    <mergeCell ref="C32:F32"/>
    <mergeCell ref="J32:M32"/>
    <mergeCell ref="C33:F33"/>
    <mergeCell ref="J33:M33"/>
    <mergeCell ref="J30:M30"/>
    <mergeCell ref="C42:H42"/>
    <mergeCell ref="J42:O42"/>
    <mergeCell ref="C44:H44"/>
    <mergeCell ref="J44:O44"/>
    <mergeCell ref="C39:F39"/>
    <mergeCell ref="C40:F40"/>
    <mergeCell ref="B38:B40"/>
    <mergeCell ref="C38:F38"/>
    <mergeCell ref="J38:M38"/>
    <mergeCell ref="J34:M34"/>
    <mergeCell ref="B35:B37"/>
    <mergeCell ref="C35:F35"/>
    <mergeCell ref="J35:M35"/>
    <mergeCell ref="C36:F36"/>
    <mergeCell ref="J36:M36"/>
    <mergeCell ref="C34:F34"/>
    <mergeCell ref="B30:B34"/>
    <mergeCell ref="C30:F30"/>
    <mergeCell ref="C31:F31"/>
    <mergeCell ref="J31:M31"/>
    <mergeCell ref="C37:F37"/>
    <mergeCell ref="J37:M37"/>
    <mergeCell ref="C29:F29"/>
    <mergeCell ref="J29:M29"/>
    <mergeCell ref="B26:B29"/>
    <mergeCell ref="C26:F26"/>
    <mergeCell ref="J26:M26"/>
    <mergeCell ref="C27:F27"/>
    <mergeCell ref="J27:M27"/>
    <mergeCell ref="C28:F28"/>
    <mergeCell ref="J28:M28"/>
    <mergeCell ref="C21:F21"/>
    <mergeCell ref="J21:M21"/>
    <mergeCell ref="B21:B25"/>
    <mergeCell ref="C24:F24"/>
    <mergeCell ref="J24:M24"/>
    <mergeCell ref="C25:F25"/>
    <mergeCell ref="J25:M25"/>
    <mergeCell ref="C22:F22"/>
    <mergeCell ref="J22:M22"/>
    <mergeCell ref="C23:F23"/>
    <mergeCell ref="J23:M23"/>
    <mergeCell ref="C18:F18"/>
    <mergeCell ref="J18:M18"/>
    <mergeCell ref="C19:F19"/>
    <mergeCell ref="J19:M19"/>
    <mergeCell ref="B16:B20"/>
    <mergeCell ref="C16:F16"/>
    <mergeCell ref="J16:M16"/>
    <mergeCell ref="C17:F17"/>
    <mergeCell ref="J17:M17"/>
    <mergeCell ref="C20:F20"/>
    <mergeCell ref="J20:M20"/>
    <mergeCell ref="C14:F14"/>
    <mergeCell ref="J14:M14"/>
    <mergeCell ref="C15:F15"/>
    <mergeCell ref="J15:M15"/>
    <mergeCell ref="B12:B15"/>
    <mergeCell ref="C12:F12"/>
    <mergeCell ref="J12:M12"/>
    <mergeCell ref="C13:F13"/>
    <mergeCell ref="J13:M13"/>
    <mergeCell ref="G1:M2"/>
    <mergeCell ref="C6:H6"/>
    <mergeCell ref="J6:O6"/>
    <mergeCell ref="B10:B11"/>
    <mergeCell ref="C10:F10"/>
    <mergeCell ref="J10:M10"/>
    <mergeCell ref="C11:F11"/>
    <mergeCell ref="J11:M11"/>
    <mergeCell ref="D1:F2"/>
  </mergeCells>
  <phoneticPr fontId="3" type="noConversion"/>
  <printOptions horizontalCentered="1" verticalCentered="1"/>
  <pageMargins left="0" right="0" top="0" bottom="0" header="0" footer="0"/>
  <pageSetup paperSize="9" scale="8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1001-11F8-488D-9248-9871A6A227D9}">
  <dimension ref="A1:J44"/>
  <sheetViews>
    <sheetView showGridLines="0" view="pageBreakPreview" zoomScale="85" zoomScaleNormal="100" zoomScaleSheetLayoutView="85" workbookViewId="0">
      <selection activeCell="M16" sqref="M16"/>
    </sheetView>
  </sheetViews>
  <sheetFormatPr defaultRowHeight="16.899999999999999" x14ac:dyDescent="0.6"/>
  <cols>
    <col min="1" max="3" width="9" style="1"/>
    <col min="4" max="4" width="10.9375" style="1" bestFit="1" customWidth="1"/>
    <col min="5" max="5" width="29.125" style="1" customWidth="1"/>
    <col min="6" max="6" width="9" style="1"/>
    <col min="7" max="8" width="16.3125" style="1" customWidth="1"/>
    <col min="9" max="9" width="14.0625" style="1" customWidth="1"/>
    <col min="10" max="10" width="22.875" style="1" customWidth="1"/>
    <col min="11" max="16384" width="9" style="1"/>
  </cols>
  <sheetData>
    <row r="1" spans="1:10" ht="6.4" customHeight="1" x14ac:dyDescent="1">
      <c r="A1" s="186"/>
      <c r="B1" s="186"/>
      <c r="C1" s="188"/>
      <c r="D1" s="188"/>
      <c r="E1" s="186"/>
      <c r="F1" s="186"/>
      <c r="G1" s="186"/>
      <c r="H1" s="186"/>
      <c r="I1" s="186"/>
      <c r="J1" s="186"/>
    </row>
    <row r="2" spans="1:10" ht="15" customHeight="1" x14ac:dyDescent="1">
      <c r="A2" s="185"/>
      <c r="B2" s="185"/>
      <c r="C2" s="186"/>
      <c r="D2" s="188"/>
      <c r="E2" s="460" t="str">
        <f>표지!C3</f>
        <v>홍길동</v>
      </c>
      <c r="F2" s="457" t="s">
        <v>170</v>
      </c>
      <c r="G2" s="457"/>
      <c r="H2" s="457"/>
      <c r="I2" s="457"/>
      <c r="J2" s="185"/>
    </row>
    <row r="3" spans="1:10" ht="16.899999999999999" customHeight="1" x14ac:dyDescent="1">
      <c r="A3" s="185"/>
      <c r="B3" s="185"/>
      <c r="C3" s="188"/>
      <c r="D3" s="188"/>
      <c r="E3" s="460"/>
      <c r="F3" s="457"/>
      <c r="G3" s="457"/>
      <c r="H3" s="457"/>
      <c r="I3" s="457"/>
      <c r="J3" s="185"/>
    </row>
    <row r="4" spans="1:10" ht="6.4" customHeight="1" x14ac:dyDescent="1">
      <c r="A4" s="186"/>
      <c r="B4" s="186"/>
      <c r="C4" s="188"/>
      <c r="D4" s="188"/>
      <c r="E4" s="186"/>
      <c r="F4" s="186"/>
      <c r="G4" s="186"/>
      <c r="H4" s="186"/>
      <c r="I4" s="186"/>
      <c r="J4" s="186"/>
    </row>
    <row r="6" spans="1:10" x14ac:dyDescent="0.6">
      <c r="A6" s="205" t="s">
        <v>118</v>
      </c>
      <c r="B6" s="206" t="s">
        <v>156</v>
      </c>
      <c r="C6" s="206" t="s">
        <v>157</v>
      </c>
      <c r="D6" s="206" t="s">
        <v>162</v>
      </c>
      <c r="E6" s="206" t="s">
        <v>1</v>
      </c>
      <c r="F6" s="206" t="s">
        <v>2</v>
      </c>
      <c r="G6" s="206" t="s">
        <v>10</v>
      </c>
      <c r="H6" s="206" t="s">
        <v>11</v>
      </c>
      <c r="I6" s="206" t="s">
        <v>164</v>
      </c>
      <c r="J6" s="207" t="s">
        <v>165</v>
      </c>
    </row>
    <row r="7" spans="1:10" x14ac:dyDescent="0.6">
      <c r="A7" s="454" t="s">
        <v>166</v>
      </c>
      <c r="B7" s="189"/>
      <c r="C7" s="189"/>
      <c r="D7" s="189"/>
      <c r="E7" s="189"/>
      <c r="F7" s="190"/>
      <c r="G7" s="191"/>
      <c r="H7" s="191"/>
      <c r="I7" s="192"/>
      <c r="J7" s="193"/>
    </row>
    <row r="8" spans="1:10" x14ac:dyDescent="0.6">
      <c r="A8" s="455"/>
      <c r="B8" s="194"/>
      <c r="C8" s="194"/>
      <c r="D8" s="194"/>
      <c r="E8" s="194"/>
      <c r="F8" s="194"/>
      <c r="G8" s="194"/>
      <c r="H8" s="194"/>
      <c r="I8" s="194"/>
      <c r="J8" s="195"/>
    </row>
    <row r="9" spans="1:10" x14ac:dyDescent="0.6">
      <c r="A9" s="455"/>
      <c r="B9" s="194"/>
      <c r="C9" s="194"/>
      <c r="D9" s="194"/>
      <c r="E9" s="194"/>
      <c r="F9" s="194"/>
      <c r="G9" s="194"/>
      <c r="H9" s="194"/>
      <c r="I9" s="194"/>
      <c r="J9" s="195"/>
    </row>
    <row r="10" spans="1:10" x14ac:dyDescent="0.6">
      <c r="A10" s="458"/>
      <c r="B10" s="198"/>
      <c r="C10" s="198"/>
      <c r="D10" s="198"/>
      <c r="E10" s="198"/>
      <c r="F10" s="198"/>
      <c r="G10" s="198"/>
      <c r="H10" s="198"/>
      <c r="I10" s="198"/>
      <c r="J10" s="199"/>
    </row>
    <row r="11" spans="1:10" x14ac:dyDescent="0.6">
      <c r="A11" s="458"/>
      <c r="B11" s="198"/>
      <c r="C11" s="198"/>
      <c r="D11" s="198"/>
      <c r="E11" s="198"/>
      <c r="F11" s="198"/>
      <c r="G11" s="198"/>
      <c r="H11" s="198"/>
      <c r="I11" s="198"/>
      <c r="J11" s="199"/>
    </row>
    <row r="12" spans="1:10" x14ac:dyDescent="0.6">
      <c r="A12" s="456"/>
      <c r="B12" s="196"/>
      <c r="C12" s="196"/>
      <c r="D12" s="196"/>
      <c r="E12" s="196"/>
      <c r="F12" s="196"/>
      <c r="G12" s="196"/>
      <c r="H12" s="196"/>
      <c r="I12" s="196"/>
      <c r="J12" s="197"/>
    </row>
    <row r="13" spans="1:10" ht="4.9000000000000004" customHeight="1" x14ac:dyDescent="0.6"/>
    <row r="14" spans="1:10" x14ac:dyDescent="0.6">
      <c r="H14" s="208" t="s">
        <v>90</v>
      </c>
      <c r="I14" s="209">
        <f>SUM(I7:I12)</f>
        <v>0</v>
      </c>
    </row>
    <row r="16" spans="1:10" x14ac:dyDescent="0.6">
      <c r="A16" s="205" t="s">
        <v>118</v>
      </c>
      <c r="B16" s="206" t="s">
        <v>156</v>
      </c>
      <c r="C16" s="206" t="s">
        <v>157</v>
      </c>
      <c r="D16" s="206" t="s">
        <v>162</v>
      </c>
      <c r="E16" s="206" t="s">
        <v>1</v>
      </c>
      <c r="F16" s="206" t="s">
        <v>2</v>
      </c>
      <c r="G16" s="206" t="s">
        <v>10</v>
      </c>
      <c r="H16" s="206" t="s">
        <v>11</v>
      </c>
      <c r="I16" s="206" t="s">
        <v>164</v>
      </c>
      <c r="J16" s="207" t="s">
        <v>165</v>
      </c>
    </row>
    <row r="17" spans="1:10" x14ac:dyDescent="0.6">
      <c r="A17" s="454" t="s">
        <v>167</v>
      </c>
      <c r="B17" s="189"/>
      <c r="C17" s="189"/>
      <c r="D17" s="189"/>
      <c r="E17" s="189"/>
      <c r="F17" s="190"/>
      <c r="G17" s="191"/>
      <c r="H17" s="191"/>
      <c r="I17" s="192"/>
      <c r="J17" s="193"/>
    </row>
    <row r="18" spans="1:10" x14ac:dyDescent="0.6">
      <c r="A18" s="455"/>
      <c r="B18" s="194"/>
      <c r="C18" s="194"/>
      <c r="D18" s="194"/>
      <c r="E18" s="194"/>
      <c r="F18" s="194"/>
      <c r="G18" s="194"/>
      <c r="H18" s="194"/>
      <c r="I18" s="194"/>
      <c r="J18" s="195"/>
    </row>
    <row r="19" spans="1:10" x14ac:dyDescent="0.6">
      <c r="A19" s="455"/>
      <c r="B19" s="194"/>
      <c r="C19" s="194"/>
      <c r="D19" s="194"/>
      <c r="E19" s="194"/>
      <c r="F19" s="194"/>
      <c r="G19" s="194"/>
      <c r="H19" s="194"/>
      <c r="I19" s="194"/>
      <c r="J19" s="195"/>
    </row>
    <row r="20" spans="1:10" x14ac:dyDescent="0.6">
      <c r="A20" s="455"/>
      <c r="B20" s="194"/>
      <c r="C20" s="194"/>
      <c r="D20" s="194"/>
      <c r="E20" s="194"/>
      <c r="F20" s="194"/>
      <c r="G20" s="194"/>
      <c r="H20" s="194"/>
      <c r="I20" s="194"/>
      <c r="J20" s="195"/>
    </row>
    <row r="21" spans="1:10" x14ac:dyDescent="0.6">
      <c r="A21" s="455"/>
      <c r="B21" s="194"/>
      <c r="C21" s="194"/>
      <c r="D21" s="194"/>
      <c r="E21" s="194"/>
      <c r="F21" s="194"/>
      <c r="G21" s="194"/>
      <c r="H21" s="194"/>
      <c r="I21" s="194"/>
      <c r="J21" s="195"/>
    </row>
    <row r="22" spans="1:10" x14ac:dyDescent="0.6">
      <c r="A22" s="456"/>
      <c r="B22" s="196"/>
      <c r="C22" s="196"/>
      <c r="D22" s="196"/>
      <c r="E22" s="196"/>
      <c r="F22" s="196"/>
      <c r="G22" s="196"/>
      <c r="H22" s="196"/>
      <c r="I22" s="196"/>
      <c r="J22" s="197"/>
    </row>
    <row r="23" spans="1:10" ht="4.9000000000000004" customHeight="1" x14ac:dyDescent="0.6"/>
    <row r="24" spans="1:10" x14ac:dyDescent="0.6">
      <c r="H24" s="208" t="s">
        <v>90</v>
      </c>
      <c r="I24" s="209">
        <f>SUM(I17:I22)</f>
        <v>0</v>
      </c>
    </row>
    <row r="26" spans="1:10" x14ac:dyDescent="0.6">
      <c r="A26" s="205" t="s">
        <v>118</v>
      </c>
      <c r="B26" s="206" t="s">
        <v>156</v>
      </c>
      <c r="C26" s="206" t="s">
        <v>157</v>
      </c>
      <c r="D26" s="206" t="s">
        <v>162</v>
      </c>
      <c r="E26" s="206" t="s">
        <v>1</v>
      </c>
      <c r="F26" s="206" t="s">
        <v>2</v>
      </c>
      <c r="G26" s="206" t="s">
        <v>10</v>
      </c>
      <c r="H26" s="206" t="s">
        <v>11</v>
      </c>
      <c r="I26" s="206" t="s">
        <v>164</v>
      </c>
      <c r="J26" s="207" t="s">
        <v>165</v>
      </c>
    </row>
    <row r="27" spans="1:10" x14ac:dyDescent="0.6">
      <c r="A27" s="454" t="s">
        <v>168</v>
      </c>
      <c r="B27" s="189"/>
      <c r="C27" s="189"/>
      <c r="D27" s="189"/>
      <c r="E27" s="189"/>
      <c r="F27" s="190"/>
      <c r="G27" s="191"/>
      <c r="H27" s="191"/>
      <c r="I27" s="192"/>
      <c r="J27" s="193"/>
    </row>
    <row r="28" spans="1:10" x14ac:dyDescent="0.6">
      <c r="A28" s="459"/>
      <c r="B28" s="200"/>
      <c r="C28" s="200"/>
      <c r="D28" s="200"/>
      <c r="E28" s="200"/>
      <c r="F28" s="201"/>
      <c r="G28" s="202"/>
      <c r="H28" s="202"/>
      <c r="I28" s="203"/>
      <c r="J28" s="204"/>
    </row>
    <row r="29" spans="1:10" x14ac:dyDescent="0.6">
      <c r="A29" s="459"/>
      <c r="B29" s="200"/>
      <c r="C29" s="200"/>
      <c r="D29" s="200"/>
      <c r="E29" s="200"/>
      <c r="F29" s="201"/>
      <c r="G29" s="202"/>
      <c r="H29" s="202"/>
      <c r="I29" s="203"/>
      <c r="J29" s="204"/>
    </row>
    <row r="30" spans="1:10" x14ac:dyDescent="0.6">
      <c r="A30" s="455"/>
      <c r="B30" s="194"/>
      <c r="C30" s="194"/>
      <c r="D30" s="194"/>
      <c r="E30" s="194"/>
      <c r="F30" s="194"/>
      <c r="G30" s="194"/>
      <c r="H30" s="194"/>
      <c r="I30" s="194"/>
      <c r="J30" s="195"/>
    </row>
    <row r="31" spans="1:10" x14ac:dyDescent="0.6">
      <c r="A31" s="455"/>
      <c r="B31" s="194"/>
      <c r="C31" s="194"/>
      <c r="D31" s="194"/>
      <c r="E31" s="194"/>
      <c r="F31" s="194"/>
      <c r="G31" s="194"/>
      <c r="H31" s="194"/>
      <c r="I31" s="194"/>
      <c r="J31" s="195"/>
    </row>
    <row r="32" spans="1:10" x14ac:dyDescent="0.6">
      <c r="A32" s="456"/>
      <c r="B32" s="196"/>
      <c r="C32" s="196"/>
      <c r="D32" s="196"/>
      <c r="E32" s="196"/>
      <c r="F32" s="196"/>
      <c r="G32" s="196"/>
      <c r="H32" s="196"/>
      <c r="I32" s="196"/>
      <c r="J32" s="197"/>
    </row>
    <row r="33" spans="1:10" ht="4.9000000000000004" customHeight="1" x14ac:dyDescent="0.6"/>
    <row r="34" spans="1:10" x14ac:dyDescent="0.6">
      <c r="H34" s="208" t="s">
        <v>90</v>
      </c>
      <c r="I34" s="209">
        <f>SUM(I27:I32)</f>
        <v>0</v>
      </c>
    </row>
    <row r="36" spans="1:10" x14ac:dyDescent="0.6">
      <c r="A36" s="205" t="s">
        <v>118</v>
      </c>
      <c r="B36" s="206" t="s">
        <v>156</v>
      </c>
      <c r="C36" s="206" t="s">
        <v>157</v>
      </c>
      <c r="D36" s="206" t="s">
        <v>162</v>
      </c>
      <c r="E36" s="206" t="s">
        <v>1</v>
      </c>
      <c r="F36" s="206" t="s">
        <v>2</v>
      </c>
      <c r="G36" s="206" t="s">
        <v>10</v>
      </c>
      <c r="H36" s="206" t="s">
        <v>11</v>
      </c>
      <c r="I36" s="206" t="s">
        <v>164</v>
      </c>
      <c r="J36" s="207" t="s">
        <v>165</v>
      </c>
    </row>
    <row r="37" spans="1:10" x14ac:dyDescent="0.6">
      <c r="A37" s="454" t="s">
        <v>169</v>
      </c>
      <c r="B37" s="189"/>
      <c r="C37" s="189"/>
      <c r="D37" s="189"/>
      <c r="E37" s="189"/>
      <c r="F37" s="190"/>
      <c r="G37" s="191"/>
      <c r="H37" s="191"/>
      <c r="I37" s="192"/>
      <c r="J37" s="193"/>
    </row>
    <row r="38" spans="1:10" x14ac:dyDescent="0.6">
      <c r="A38" s="455"/>
      <c r="B38" s="194"/>
      <c r="C38" s="194"/>
      <c r="D38" s="194"/>
      <c r="E38" s="194"/>
      <c r="F38" s="194"/>
      <c r="G38" s="194"/>
      <c r="H38" s="194"/>
      <c r="I38" s="194"/>
      <c r="J38" s="195"/>
    </row>
    <row r="39" spans="1:10" x14ac:dyDescent="0.6">
      <c r="A39" s="455"/>
      <c r="B39" s="194"/>
      <c r="C39" s="194"/>
      <c r="D39" s="194"/>
      <c r="E39" s="194"/>
      <c r="F39" s="194"/>
      <c r="G39" s="194"/>
      <c r="H39" s="194"/>
      <c r="I39" s="194"/>
      <c r="J39" s="195"/>
    </row>
    <row r="40" spans="1:10" x14ac:dyDescent="0.6">
      <c r="A40" s="455"/>
      <c r="B40" s="194"/>
      <c r="C40" s="194"/>
      <c r="D40" s="194"/>
      <c r="E40" s="194"/>
      <c r="F40" s="194"/>
      <c r="G40" s="194"/>
      <c r="H40" s="194"/>
      <c r="I40" s="194"/>
      <c r="J40" s="195"/>
    </row>
    <row r="41" spans="1:10" x14ac:dyDescent="0.6">
      <c r="A41" s="455"/>
      <c r="B41" s="194"/>
      <c r="C41" s="194"/>
      <c r="D41" s="194"/>
      <c r="E41" s="194"/>
      <c r="F41" s="194"/>
      <c r="G41" s="194"/>
      <c r="H41" s="194"/>
      <c r="I41" s="194"/>
      <c r="J41" s="195"/>
    </row>
    <row r="42" spans="1:10" x14ac:dyDescent="0.6">
      <c r="A42" s="456"/>
      <c r="B42" s="196"/>
      <c r="C42" s="196"/>
      <c r="D42" s="196"/>
      <c r="E42" s="196"/>
      <c r="F42" s="196"/>
      <c r="G42" s="196"/>
      <c r="H42" s="196"/>
      <c r="I42" s="196"/>
      <c r="J42" s="197"/>
    </row>
    <row r="43" spans="1:10" ht="4.9000000000000004" customHeight="1" x14ac:dyDescent="0.6"/>
    <row r="44" spans="1:10" x14ac:dyDescent="0.6">
      <c r="H44" s="208" t="s">
        <v>90</v>
      </c>
      <c r="I44" s="209">
        <f>SUM(I37:I42)</f>
        <v>0</v>
      </c>
    </row>
  </sheetData>
  <mergeCells count="6">
    <mergeCell ref="A37:A42"/>
    <mergeCell ref="F2:I3"/>
    <mergeCell ref="A7:A12"/>
    <mergeCell ref="A17:A22"/>
    <mergeCell ref="A27:A32"/>
    <mergeCell ref="E2:E3"/>
  </mergeCells>
  <phoneticPr fontId="3" type="noConversion"/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39A4-FC8F-4B27-A1A4-A6FB252845E3}">
  <sheetPr>
    <tabColor rgb="FFFFCF37"/>
  </sheetPr>
  <dimension ref="A1:L32"/>
  <sheetViews>
    <sheetView showGridLines="0" view="pageBreakPreview" zoomScale="85" zoomScaleNormal="100" zoomScaleSheetLayoutView="85" workbookViewId="0">
      <selection activeCell="K1" sqref="K1"/>
    </sheetView>
  </sheetViews>
  <sheetFormatPr defaultRowHeight="16.899999999999999" x14ac:dyDescent="0.6"/>
  <cols>
    <col min="1" max="1" width="8.5" customWidth="1"/>
    <col min="2" max="3" width="11.5625" customWidth="1"/>
    <col min="4" max="4" width="8.5" customWidth="1"/>
    <col min="5" max="5" width="7.5" customWidth="1"/>
    <col min="6" max="8" width="10.5625" customWidth="1"/>
  </cols>
  <sheetData>
    <row r="1" spans="1:12" ht="16.899999999999999" customHeight="1" x14ac:dyDescent="0.6">
      <c r="A1" s="480" t="s">
        <v>171</v>
      </c>
      <c r="B1" s="481"/>
      <c r="C1" s="481"/>
      <c r="D1" s="481"/>
      <c r="E1" s="481"/>
      <c r="F1" s="481"/>
      <c r="G1" s="481"/>
      <c r="H1" s="482"/>
    </row>
    <row r="2" spans="1:12" ht="16.899999999999999" customHeight="1" x14ac:dyDescent="0.6">
      <c r="A2" s="483"/>
      <c r="B2" s="484"/>
      <c r="C2" s="484"/>
      <c r="D2" s="484"/>
      <c r="E2" s="484"/>
      <c r="F2" s="484"/>
      <c r="G2" s="484"/>
      <c r="H2" s="485"/>
    </row>
    <row r="3" spans="1:12" x14ac:dyDescent="0.6">
      <c r="A3" s="310" t="s">
        <v>413</v>
      </c>
      <c r="B3" s="310"/>
      <c r="C3" s="71"/>
      <c r="G3" s="71"/>
    </row>
    <row r="4" spans="1:12" ht="16.899999999999999" customHeight="1" x14ac:dyDescent="0.6">
      <c r="A4" s="306"/>
      <c r="B4" s="306"/>
      <c r="C4" s="71"/>
      <c r="D4" s="66"/>
      <c r="E4" s="66"/>
      <c r="F4" s="66"/>
      <c r="G4" s="71"/>
      <c r="H4" s="66"/>
    </row>
    <row r="5" spans="1:12" ht="25.05" customHeight="1" x14ac:dyDescent="0.6">
      <c r="A5" s="486" t="s">
        <v>178</v>
      </c>
      <c r="B5" s="486"/>
      <c r="C5" s="486"/>
      <c r="D5" s="486"/>
      <c r="E5" s="486"/>
      <c r="F5" s="218" t="s">
        <v>175</v>
      </c>
      <c r="G5" s="223" t="s">
        <v>176</v>
      </c>
      <c r="H5" s="224" t="s">
        <v>177</v>
      </c>
      <c r="I5" s="99"/>
      <c r="K5" s="69"/>
      <c r="L5" s="1"/>
    </row>
    <row r="6" spans="1:12" ht="25.05" customHeight="1" x14ac:dyDescent="0.6">
      <c r="A6" s="476" t="s">
        <v>179</v>
      </c>
      <c r="B6" s="477"/>
      <c r="C6" s="477"/>
      <c r="D6" s="477"/>
      <c r="E6" s="477"/>
      <c r="F6" s="487"/>
      <c r="G6" s="488"/>
      <c r="H6" s="489"/>
      <c r="K6" s="69"/>
      <c r="L6" s="1"/>
    </row>
    <row r="7" spans="1:12" ht="25.05" customHeight="1" x14ac:dyDescent="0.6">
      <c r="A7" s="478"/>
      <c r="B7" s="479"/>
      <c r="C7" s="479"/>
      <c r="D7" s="479"/>
      <c r="E7" s="479"/>
      <c r="F7" s="470"/>
      <c r="G7" s="472"/>
      <c r="H7" s="474"/>
      <c r="K7" s="69"/>
      <c r="L7" s="1"/>
    </row>
    <row r="8" spans="1:12" ht="25.05" customHeight="1" x14ac:dyDescent="0.6">
      <c r="A8" s="476" t="s">
        <v>180</v>
      </c>
      <c r="B8" s="477"/>
      <c r="C8" s="477"/>
      <c r="D8" s="477"/>
      <c r="E8" s="477"/>
      <c r="F8" s="470"/>
      <c r="G8" s="472"/>
      <c r="H8" s="474"/>
      <c r="K8" s="69"/>
      <c r="L8" s="1"/>
    </row>
    <row r="9" spans="1:12" ht="25.05" customHeight="1" x14ac:dyDescent="0.6">
      <c r="A9" s="478"/>
      <c r="B9" s="479"/>
      <c r="C9" s="479"/>
      <c r="D9" s="479"/>
      <c r="E9" s="479"/>
      <c r="F9" s="470"/>
      <c r="G9" s="472"/>
      <c r="H9" s="474"/>
      <c r="K9" s="69"/>
      <c r="L9" s="1"/>
    </row>
    <row r="10" spans="1:12" ht="25.05" customHeight="1" x14ac:dyDescent="0.6">
      <c r="A10" s="476" t="s">
        <v>181</v>
      </c>
      <c r="B10" s="477"/>
      <c r="C10" s="477"/>
      <c r="D10" s="477"/>
      <c r="E10" s="477"/>
      <c r="F10" s="470"/>
      <c r="G10" s="472"/>
      <c r="H10" s="474"/>
      <c r="K10" s="69"/>
      <c r="L10" s="1"/>
    </row>
    <row r="11" spans="1:12" ht="25.05" customHeight="1" x14ac:dyDescent="0.6">
      <c r="A11" s="478"/>
      <c r="B11" s="479"/>
      <c r="C11" s="479"/>
      <c r="D11" s="479"/>
      <c r="E11" s="479"/>
      <c r="F11" s="471"/>
      <c r="G11" s="473"/>
      <c r="H11" s="475"/>
      <c r="K11" s="69"/>
      <c r="L11" s="1"/>
    </row>
    <row r="12" spans="1:12" ht="25.05" customHeight="1" x14ac:dyDescent="0.6">
      <c r="A12" s="476" t="s">
        <v>182</v>
      </c>
      <c r="B12" s="477"/>
      <c r="C12" s="477"/>
      <c r="D12" s="477"/>
      <c r="E12" s="477"/>
      <c r="F12" s="470"/>
      <c r="G12" s="472"/>
      <c r="H12" s="474"/>
      <c r="K12" s="69"/>
      <c r="L12" s="1"/>
    </row>
    <row r="13" spans="1:12" ht="25.05" customHeight="1" x14ac:dyDescent="0.6">
      <c r="A13" s="478"/>
      <c r="B13" s="479"/>
      <c r="C13" s="479"/>
      <c r="D13" s="479"/>
      <c r="E13" s="479"/>
      <c r="F13" s="471"/>
      <c r="G13" s="473"/>
      <c r="H13" s="475"/>
      <c r="K13" s="69"/>
      <c r="L13" s="1"/>
    </row>
    <row r="14" spans="1:12" ht="25.05" customHeight="1" x14ac:dyDescent="0.6">
      <c r="A14" s="476" t="s">
        <v>185</v>
      </c>
      <c r="B14" s="477"/>
      <c r="C14" s="477"/>
      <c r="D14" s="477"/>
      <c r="E14" s="477"/>
      <c r="F14" s="470"/>
      <c r="G14" s="472"/>
      <c r="H14" s="474"/>
      <c r="K14" s="69"/>
      <c r="L14" s="1"/>
    </row>
    <row r="15" spans="1:12" ht="25.05" customHeight="1" x14ac:dyDescent="0.6">
      <c r="A15" s="478"/>
      <c r="B15" s="479"/>
      <c r="C15" s="479"/>
      <c r="D15" s="479"/>
      <c r="E15" s="479"/>
      <c r="F15" s="471"/>
      <c r="G15" s="473"/>
      <c r="H15" s="475"/>
      <c r="K15" s="69"/>
      <c r="L15" s="1"/>
    </row>
    <row r="16" spans="1:12" x14ac:dyDescent="0.6">
      <c r="A16" s="219"/>
      <c r="B16" s="220"/>
      <c r="C16" s="220"/>
      <c r="D16" s="220"/>
      <c r="E16" s="220"/>
      <c r="F16" s="220"/>
      <c r="G16" s="219"/>
      <c r="H16" s="219"/>
    </row>
    <row r="17" spans="1:11" x14ac:dyDescent="0.6">
      <c r="A17" s="461" t="s">
        <v>414</v>
      </c>
      <c r="B17" s="461"/>
      <c r="C17" s="461"/>
      <c r="D17" s="1"/>
      <c r="E17" s="1"/>
      <c r="F17" s="1"/>
    </row>
    <row r="18" spans="1:11" ht="16.899999999999999" customHeight="1" x14ac:dyDescent="0.6">
      <c r="A18" s="310"/>
      <c r="B18" s="310"/>
      <c r="C18" s="310"/>
      <c r="D18" s="74"/>
      <c r="E18" s="74"/>
      <c r="F18" s="1"/>
      <c r="I18" s="69"/>
    </row>
    <row r="19" spans="1:11" ht="25.05" customHeight="1" x14ac:dyDescent="0.6">
      <c r="A19" s="222" t="s">
        <v>183</v>
      </c>
      <c r="K19" s="69"/>
    </row>
    <row r="20" spans="1:11" ht="63.85" customHeight="1" x14ac:dyDescent="0.6">
      <c r="A20" s="320"/>
      <c r="B20" s="320"/>
      <c r="C20" s="320"/>
      <c r="D20" s="320"/>
      <c r="E20" s="320"/>
      <c r="F20" s="320"/>
      <c r="G20" s="320"/>
      <c r="H20" s="320"/>
      <c r="K20" s="69"/>
    </row>
    <row r="21" spans="1:11" ht="25.05" customHeight="1" x14ac:dyDescent="0.6">
      <c r="A21" s="222" t="s">
        <v>184</v>
      </c>
      <c r="K21" s="69"/>
    </row>
    <row r="22" spans="1:11" ht="63.85" customHeight="1" x14ac:dyDescent="0.6">
      <c r="A22" s="469"/>
      <c r="B22" s="469"/>
      <c r="C22" s="469"/>
      <c r="D22" s="469"/>
      <c r="E22" s="469"/>
      <c r="F22" s="469"/>
      <c r="G22" s="469"/>
      <c r="H22" s="469"/>
      <c r="K22" s="69"/>
    </row>
    <row r="23" spans="1:11" ht="10.9" customHeight="1" x14ac:dyDescent="0.6">
      <c r="B23" s="66"/>
      <c r="C23" s="51"/>
      <c r="D23" s="1"/>
      <c r="E23" s="1"/>
      <c r="F23" s="1"/>
    </row>
    <row r="24" spans="1:11" x14ac:dyDescent="0.6">
      <c r="A24" s="66" t="s">
        <v>415</v>
      </c>
      <c r="B24" s="66"/>
      <c r="C24" s="1"/>
      <c r="F24" s="1"/>
      <c r="G24" s="1"/>
    </row>
    <row r="25" spans="1:11" x14ac:dyDescent="0.6">
      <c r="A25" s="222" t="s">
        <v>416</v>
      </c>
      <c r="B25" s="71"/>
      <c r="C25" s="1"/>
      <c r="F25" s="1"/>
      <c r="G25" s="1"/>
    </row>
    <row r="26" spans="1:11" ht="9.4" customHeight="1" x14ac:dyDescent="0.6">
      <c r="A26" s="143"/>
      <c r="B26" s="143"/>
    </row>
    <row r="27" spans="1:11" ht="25.05" customHeight="1" x14ac:dyDescent="0.6">
      <c r="A27" s="68" t="s">
        <v>172</v>
      </c>
      <c r="B27" s="75" t="s">
        <v>173</v>
      </c>
      <c r="C27" s="309" t="s">
        <v>84</v>
      </c>
      <c r="D27" s="309"/>
      <c r="E27" s="309"/>
      <c r="F27" s="309" t="s">
        <v>174</v>
      </c>
      <c r="G27" s="309"/>
      <c r="H27" s="466"/>
      <c r="K27" s="69"/>
    </row>
    <row r="28" spans="1:11" ht="25.05" customHeight="1" x14ac:dyDescent="0.6">
      <c r="A28" s="215"/>
      <c r="B28" s="216"/>
      <c r="C28" s="462"/>
      <c r="D28" s="462"/>
      <c r="E28" s="462"/>
      <c r="F28" s="462"/>
      <c r="G28" s="462"/>
      <c r="H28" s="463"/>
    </row>
    <row r="29" spans="1:11" ht="25.05" customHeight="1" x14ac:dyDescent="0.6">
      <c r="A29" s="77"/>
      <c r="B29" s="210"/>
      <c r="C29" s="467"/>
      <c r="D29" s="467"/>
      <c r="E29" s="467"/>
      <c r="F29" s="467"/>
      <c r="G29" s="467"/>
      <c r="H29" s="468"/>
    </row>
    <row r="30" spans="1:11" ht="25.05" customHeight="1" x14ac:dyDescent="0.6">
      <c r="A30" s="221"/>
      <c r="B30" s="210"/>
      <c r="C30" s="467"/>
      <c r="D30" s="467"/>
      <c r="E30" s="467"/>
      <c r="F30" s="467"/>
      <c r="G30" s="467"/>
      <c r="H30" s="468"/>
    </row>
    <row r="31" spans="1:11" ht="25.05" customHeight="1" x14ac:dyDescent="0.6">
      <c r="A31" s="215"/>
      <c r="B31" s="216"/>
      <c r="C31" s="462"/>
      <c r="D31" s="462"/>
      <c r="E31" s="462"/>
      <c r="F31" s="462"/>
      <c r="G31" s="462"/>
      <c r="H31" s="463"/>
    </row>
    <row r="32" spans="1:11" ht="25.05" customHeight="1" x14ac:dyDescent="0.6">
      <c r="A32" s="78"/>
      <c r="B32" s="212"/>
      <c r="C32" s="464"/>
      <c r="D32" s="464"/>
      <c r="E32" s="464"/>
      <c r="F32" s="464"/>
      <c r="G32" s="464"/>
      <c r="H32" s="465"/>
    </row>
  </sheetData>
  <mergeCells count="38">
    <mergeCell ref="A1:H2"/>
    <mergeCell ref="A3:B4"/>
    <mergeCell ref="A14:E15"/>
    <mergeCell ref="F14:F15"/>
    <mergeCell ref="G14:G15"/>
    <mergeCell ref="H14:H15"/>
    <mergeCell ref="A8:E9"/>
    <mergeCell ref="F8:F9"/>
    <mergeCell ref="G8:G9"/>
    <mergeCell ref="H8:H9"/>
    <mergeCell ref="A5:E5"/>
    <mergeCell ref="A6:E7"/>
    <mergeCell ref="F6:F7"/>
    <mergeCell ref="G6:G7"/>
    <mergeCell ref="H6:H7"/>
    <mergeCell ref="A10:E11"/>
    <mergeCell ref="F10:F11"/>
    <mergeCell ref="G10:G11"/>
    <mergeCell ref="H10:H11"/>
    <mergeCell ref="A12:E13"/>
    <mergeCell ref="F12:F13"/>
    <mergeCell ref="G12:G13"/>
    <mergeCell ref="H12:H13"/>
    <mergeCell ref="A17:C18"/>
    <mergeCell ref="C31:E31"/>
    <mergeCell ref="F31:H31"/>
    <mergeCell ref="C32:E32"/>
    <mergeCell ref="F32:H32"/>
    <mergeCell ref="F27:H27"/>
    <mergeCell ref="F28:H28"/>
    <mergeCell ref="F29:H29"/>
    <mergeCell ref="F30:H30"/>
    <mergeCell ref="C27:E27"/>
    <mergeCell ref="C28:E28"/>
    <mergeCell ref="C29:E29"/>
    <mergeCell ref="C30:E30"/>
    <mergeCell ref="A22:H22"/>
    <mergeCell ref="A20:H20"/>
  </mergeCells>
  <phoneticPr fontId="3" type="noConversion"/>
  <printOptions horizontalCentered="1" verticalCentered="1"/>
  <pageMargins left="0" right="0" top="0" bottom="0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03D9-B572-46E7-B66D-622CDFDA23B2}">
  <dimension ref="A1:D8"/>
  <sheetViews>
    <sheetView showGridLines="0" zoomScaleNormal="100" workbookViewId="0">
      <selection activeCell="E1" sqref="E1"/>
    </sheetView>
  </sheetViews>
  <sheetFormatPr defaultRowHeight="15.75" x14ac:dyDescent="0.6"/>
  <cols>
    <col min="1" max="1" width="15.0625" style="2" bestFit="1" customWidth="1"/>
    <col min="2" max="3" width="9" style="2"/>
    <col min="4" max="4" width="12.6875" style="2" bestFit="1" customWidth="1"/>
    <col min="5" max="16384" width="9" style="2"/>
  </cols>
  <sheetData>
    <row r="1" spans="1:4" x14ac:dyDescent="0.6">
      <c r="A1" s="151" t="s">
        <v>99</v>
      </c>
      <c r="B1" s="151" t="s">
        <v>97</v>
      </c>
      <c r="C1" s="152" t="s">
        <v>98</v>
      </c>
      <c r="D1" s="151" t="s">
        <v>100</v>
      </c>
    </row>
    <row r="2" spans="1:4" x14ac:dyDescent="0.6">
      <c r="A2" s="153" t="s">
        <v>96</v>
      </c>
      <c r="B2" s="154">
        <f>SUM(보장분석!E12:CA12)</f>
        <v>0</v>
      </c>
      <c r="C2" s="155">
        <v>10000</v>
      </c>
      <c r="D2" s="153">
        <f t="shared" ref="D2:D7" si="0">MIN(5,B2/C2)</f>
        <v>0</v>
      </c>
    </row>
    <row r="3" spans="1:4" x14ac:dyDescent="0.6">
      <c r="A3" s="156" t="s">
        <v>20</v>
      </c>
      <c r="B3" s="157">
        <f>SUM(보장분석!E21:CA21)</f>
        <v>3000</v>
      </c>
      <c r="C3" s="158">
        <v>10000</v>
      </c>
      <c r="D3" s="156">
        <f t="shared" si="0"/>
        <v>0.3</v>
      </c>
    </row>
    <row r="4" spans="1:4" x14ac:dyDescent="0.6">
      <c r="A4" s="156" t="s">
        <v>30</v>
      </c>
      <c r="B4" s="157">
        <f>SUM(보장분석!E33:CA34)</f>
        <v>0</v>
      </c>
      <c r="C4" s="158">
        <v>3000</v>
      </c>
      <c r="D4" s="156">
        <f t="shared" si="0"/>
        <v>0</v>
      </c>
    </row>
    <row r="5" spans="1:4" x14ac:dyDescent="0.6">
      <c r="A5" s="156" t="s">
        <v>24</v>
      </c>
      <c r="B5" s="157">
        <f>SUM(보장분석!E27:CA27)</f>
        <v>1000</v>
      </c>
      <c r="C5" s="158">
        <v>3000</v>
      </c>
      <c r="D5" s="156">
        <f t="shared" si="0"/>
        <v>0.33333333333333331</v>
      </c>
    </row>
    <row r="6" spans="1:4" x14ac:dyDescent="0.6">
      <c r="A6" s="156" t="s">
        <v>32</v>
      </c>
      <c r="B6" s="157">
        <f>SUM(보장분석!E39:CA39)</f>
        <v>50</v>
      </c>
      <c r="C6" s="158">
        <v>100</v>
      </c>
      <c r="D6" s="156">
        <f t="shared" si="0"/>
        <v>0.5</v>
      </c>
    </row>
    <row r="7" spans="1:4" x14ac:dyDescent="0.6">
      <c r="A7" s="159" t="s">
        <v>37</v>
      </c>
      <c r="B7" s="160">
        <f>SUM(보장분석!E44:CA44)</f>
        <v>1</v>
      </c>
      <c r="C7" s="161">
        <v>10</v>
      </c>
      <c r="D7" s="159">
        <f t="shared" si="0"/>
        <v>0.1</v>
      </c>
    </row>
    <row r="8" spans="1:4" x14ac:dyDescent="0.6">
      <c r="A8" s="490" t="s">
        <v>135</v>
      </c>
      <c r="B8" s="490"/>
      <c r="C8" s="2" t="s">
        <v>136</v>
      </c>
      <c r="D8" s="162" t="s">
        <v>135</v>
      </c>
    </row>
  </sheetData>
  <mergeCells count="1">
    <mergeCell ref="A8:B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15</vt:i4>
      </vt:variant>
    </vt:vector>
  </HeadingPairs>
  <TitlesOfParts>
    <vt:vector size="30" baseType="lpstr">
      <vt:lpstr>보험나무</vt:lpstr>
      <vt:lpstr>TIP</vt:lpstr>
      <vt:lpstr>고객상담일지</vt:lpstr>
      <vt:lpstr>표지</vt:lpstr>
      <vt:lpstr>보장분석</vt:lpstr>
      <vt:lpstr>리모델링 후(보장)</vt:lpstr>
      <vt:lpstr>담보별 가입금액</vt:lpstr>
      <vt:lpstr>리모델링 후(담보)</vt:lpstr>
      <vt:lpstr>리모델링 전 후 비교제안서</vt:lpstr>
      <vt:lpstr>리모델링 요약 보고서</vt:lpstr>
      <vt:lpstr>회사별 비교제안서(건강)</vt:lpstr>
      <vt:lpstr>회사별 비교제안서(운전자)</vt:lpstr>
      <vt:lpstr>가족 보험 현황</vt:lpstr>
      <vt:lpstr>만족도 조사</vt:lpstr>
      <vt:lpstr>표지 그래프</vt:lpstr>
      <vt:lpstr>'가족 보험 현황'!Print_Area</vt:lpstr>
      <vt:lpstr>고객상담일지!Print_Area</vt:lpstr>
      <vt:lpstr>'담보별 가입금액'!Print_Area</vt:lpstr>
      <vt:lpstr>'리모델링 요약 보고서'!Print_Area</vt:lpstr>
      <vt:lpstr>'리모델링 전 후 비교제안서'!Print_Area</vt:lpstr>
      <vt:lpstr>'리모델링 후(담보)'!Print_Area</vt:lpstr>
      <vt:lpstr>'리모델링 후(보장)'!Print_Area</vt:lpstr>
      <vt:lpstr>'만족도 조사'!Print_Area</vt:lpstr>
      <vt:lpstr>보장분석!Print_Area</vt:lpstr>
      <vt:lpstr>보험나무!Print_Area</vt:lpstr>
      <vt:lpstr>표지!Print_Area</vt:lpstr>
      <vt:lpstr>'회사별 비교제안서(건강)'!Print_Area</vt:lpstr>
      <vt:lpstr>'회사별 비교제안서(운전자)'!Print_Area</vt:lpstr>
      <vt:lpstr>'리모델링 후(보장)'!Print_Titles</vt:lpstr>
      <vt:lpstr>보장분석!Print_Titles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보험나무</dc:title>
  <dc:creator>보험나무</dc:creator>
  <dc:description>고객상담일지, 보장분석표, 리모델링제안서</dc:description>
  <cp:lastModifiedBy>지연 배</cp:lastModifiedBy>
  <cp:lastPrinted>2026-04-14T14:47:48Z</cp:lastPrinted>
  <dcterms:created xsi:type="dcterms:W3CDTF">2026-04-08T10:14:51Z</dcterms:created>
  <dcterms:modified xsi:type="dcterms:W3CDTF">2026-04-14T14:49:45Z</dcterms:modified>
</cp:coreProperties>
</file>